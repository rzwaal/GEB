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icthva-my.sharepoint.com/personal/r_zwaal_hva_nl/Documents/Wiskunde/"/>
    </mc:Choice>
  </mc:AlternateContent>
  <xr:revisionPtr revIDLastSave="1663" documentId="8_{4E965A1C-B63D-436C-A759-E49D06182974}" xr6:coauthVersionLast="47" xr6:coauthVersionMax="47" xr10:uidLastSave="{D6BCE777-6BE3-467D-8E89-AAE3AF683C3F}"/>
  <bookViews>
    <workbookView xWindow="-120" yWindow="-120" windowWidth="29040" windowHeight="15720" xr2:uid="{AC2115C1-DCEB-4B87-ACD0-521C3A187073}"/>
  </bookViews>
  <sheets>
    <sheet name="MU-puzzle" sheetId="1" r:id="rId1"/>
    <sheet name="pq-System" sheetId="3" r:id="rId2"/>
    <sheet name="tq-System" sheetId="4" r:id="rId3"/>
    <sheet name="priemgetallen" sheetId="5" r:id="rId4"/>
    <sheet name="recursie" sheetId="6" r:id="rId5"/>
    <sheet name="propositielogica" sheetId="7" r:id="rId6"/>
    <sheet name="TNT" sheetId="8" r:id="rId7"/>
    <sheet name="MU-puzzle (2)" sheetId="9" r:id="rId8"/>
    <sheet name="TNT (2)" sheetId="10" r:id="rId9"/>
    <sheet name="Jabberwocky" sheetId="11" r:id="rId10"/>
    <sheet name="Pie" sheetId="13" r:id="rId11"/>
    <sheet name="BlooP" sheetId="15" r:id="rId12"/>
    <sheet name="Typogenetics" sheetId="16" r:id="rId13"/>
    <sheet name="Story in Arabic" sheetId="17" r:id="rId14"/>
    <sheet name="GEB" sheetId="12"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8" i="10" l="1"/>
  <c r="F38" i="10"/>
  <c r="I33" i="10"/>
  <c r="J38" i="10" s="1"/>
  <c r="H33" i="10"/>
  <c r="J33" i="10" s="1"/>
  <c r="G33" i="10"/>
  <c r="F33" i="10"/>
  <c r="I30" i="10"/>
  <c r="M30" i="10" s="1"/>
  <c r="G30" i="10"/>
  <c r="H30" i="10" s="1"/>
  <c r="H38" i="10" s="1"/>
  <c r="K38" i="10" s="1"/>
  <c r="F30" i="10"/>
  <c r="Q25" i="10"/>
  <c r="T30" i="10" s="1"/>
  <c r="M25" i="10"/>
  <c r="P30" i="10" s="1"/>
  <c r="L25" i="10"/>
  <c r="O30" i="10" s="1"/>
  <c r="L33" i="10" s="1"/>
  <c r="N38" i="10" s="1"/>
  <c r="K25" i="10"/>
  <c r="N30" i="10" s="1"/>
  <c r="J25" i="10"/>
  <c r="N33" i="10" s="1"/>
  <c r="P38" i="10" s="1"/>
  <c r="I25" i="10"/>
  <c r="H25" i="10"/>
  <c r="J30" i="10" s="1"/>
  <c r="G25" i="10"/>
  <c r="F25" i="10"/>
  <c r="P10" i="10"/>
  <c r="G13" i="10" s="1"/>
  <c r="K10" i="10"/>
  <c r="O4" i="10"/>
  <c r="O10" i="10" s="1"/>
  <c r="F13" i="10" s="1"/>
  <c r="N4" i="10"/>
  <c r="N10" i="10" s="1"/>
  <c r="M4" i="10"/>
  <c r="Q4" i="10" s="1"/>
  <c r="S4" i="10" s="1"/>
  <c r="L4" i="10"/>
  <c r="R4" i="10" s="1"/>
  <c r="H7" i="10" s="1"/>
  <c r="J4" i="10"/>
  <c r="P4" i="10" s="1"/>
  <c r="I4" i="10"/>
  <c r="I10" i="10" s="1"/>
  <c r="H4" i="10"/>
  <c r="H10" i="10" s="1"/>
  <c r="R10" i="10" s="1"/>
  <c r="I13" i="10" s="1"/>
  <c r="G4" i="10"/>
  <c r="K4" i="10" s="1"/>
  <c r="F4" i="10"/>
  <c r="F10" i="10" s="1"/>
  <c r="M33" i="10" l="1"/>
  <c r="O38" i="10" s="1"/>
  <c r="K30" i="10"/>
  <c r="L30" i="10" s="1"/>
  <c r="I38" i="10"/>
  <c r="L38" i="10" s="1"/>
  <c r="K33" i="10"/>
  <c r="M38" i="10" s="1"/>
  <c r="J10" i="10"/>
  <c r="S10" i="10" s="1"/>
  <c r="J13" i="10" s="1"/>
  <c r="M10" i="10"/>
  <c r="V10" i="10" s="1"/>
  <c r="M13" i="10" s="1"/>
  <c r="F7" i="10"/>
  <c r="N25" i="10"/>
  <c r="G10" i="10"/>
  <c r="Q10" i="10" s="1"/>
  <c r="L10" i="10"/>
  <c r="U10" i="10" s="1"/>
  <c r="L13" i="10" s="1"/>
  <c r="G7" i="10"/>
  <c r="I7" i="10" s="1"/>
  <c r="B25" i="15"/>
  <c r="B27" i="15"/>
  <c r="B7" i="13"/>
  <c r="B8" i="13"/>
  <c r="C5" i="13"/>
  <c r="C2" i="13"/>
  <c r="C3" i="13" s="1"/>
  <c r="C39" i="6"/>
  <c r="D39" i="6"/>
  <c r="C38" i="6"/>
  <c r="D38" i="6"/>
  <c r="D30" i="6"/>
  <c r="C31" i="6" s="1"/>
  <c r="D32" i="6" s="1"/>
  <c r="C33" i="6" s="1"/>
  <c r="D34" i="6" s="1"/>
  <c r="C35" i="6" s="1"/>
  <c r="D36" i="6" s="1"/>
  <c r="C37" i="6" s="1"/>
  <c r="C30" i="6"/>
  <c r="D31" i="6" s="1"/>
  <c r="C32" i="6" s="1"/>
  <c r="D33" i="6" s="1"/>
  <c r="C34" i="6" s="1"/>
  <c r="D35" i="6" s="1"/>
  <c r="C36" i="6" s="1"/>
  <c r="D37" i="6" s="1"/>
  <c r="C49" i="10"/>
  <c r="B49" i="10"/>
  <c r="F25" i="9"/>
  <c r="F18" i="9"/>
  <c r="D38" i="8"/>
  <c r="D37" i="8"/>
  <c r="C38" i="8"/>
  <c r="C39" i="8" s="1"/>
  <c r="C37" i="8"/>
  <c r="C5" i="6"/>
  <c r="C6" i="6" s="1"/>
  <c r="L18" i="5"/>
  <c r="M18" i="5" s="1"/>
  <c r="M10" i="5"/>
  <c r="M11" i="5"/>
  <c r="N11" i="5" s="1"/>
  <c r="M12" i="5"/>
  <c r="M13" i="5"/>
  <c r="N13" i="5" s="1"/>
  <c r="M14" i="5"/>
  <c r="N14" i="5" s="1"/>
  <c r="M15" i="5"/>
  <c r="N15" i="5" s="1"/>
  <c r="M16" i="5"/>
  <c r="M17" i="5"/>
  <c r="N17" i="5" s="1"/>
  <c r="M9" i="5"/>
  <c r="Q30" i="10" l="1"/>
  <c r="O25" i="10"/>
  <c r="T10" i="10"/>
  <c r="K13" i="10" s="1"/>
  <c r="H13" i="10"/>
  <c r="C8" i="6"/>
  <c r="C9" i="6"/>
  <c r="C17" i="6" s="1"/>
  <c r="C10" i="6"/>
  <c r="C11" i="6"/>
  <c r="D39" i="8"/>
  <c r="N18" i="5"/>
  <c r="N16" i="5"/>
  <c r="N12" i="5"/>
  <c r="C7" i="6"/>
  <c r="N10" i="5"/>
  <c r="P25" i="10" l="1"/>
  <c r="S30" i="10" s="1"/>
  <c r="R30" i="10"/>
  <c r="C15" i="6"/>
  <c r="C13" i="6"/>
  <c r="C20" i="6"/>
  <c r="C19" i="6"/>
  <c r="C14" i="6"/>
  <c r="C18" i="6"/>
  <c r="C16" i="6"/>
  <c r="C12" i="6"/>
</calcChain>
</file>

<file path=xl/sharedStrings.xml><?xml version="1.0" encoding="utf-8"?>
<sst xmlns="http://schemas.openxmlformats.org/spreadsheetml/2006/main" count="739" uniqueCount="448">
  <si>
    <t>1.</t>
  </si>
  <si>
    <t>string with last letter I - add U</t>
  </si>
  <si>
    <t>2.</t>
  </si>
  <si>
    <t>Mx - Mxx</t>
  </si>
  <si>
    <t>3.</t>
  </si>
  <si>
    <t>III - U</t>
  </si>
  <si>
    <t>4.</t>
  </si>
  <si>
    <t>UU - drop UU</t>
  </si>
  <si>
    <t>Start:</t>
  </si>
  <si>
    <t>MI</t>
  </si>
  <si>
    <t>MII</t>
  </si>
  <si>
    <t>MIIII</t>
  </si>
  <si>
    <t>MUI</t>
  </si>
  <si>
    <t>MUIU</t>
  </si>
  <si>
    <t>MUIUUIU</t>
  </si>
  <si>
    <t>MUIIU</t>
  </si>
  <si>
    <t>MUIIUUIIU</t>
  </si>
  <si>
    <t>MUIIIIU</t>
  </si>
  <si>
    <t>MUUIU</t>
  </si>
  <si>
    <t>MUIUU</t>
  </si>
  <si>
    <t>of</t>
  </si>
  <si>
    <t>MIU</t>
  </si>
  <si>
    <t>Goal:</t>
  </si>
  <si>
    <t>MU</t>
  </si>
  <si>
    <t>MIUU</t>
  </si>
  <si>
    <t>MIUIU</t>
  </si>
  <si>
    <t>MIII</t>
  </si>
  <si>
    <t>MIIIIU</t>
  </si>
  <si>
    <t xml:space="preserve">MI </t>
  </si>
  <si>
    <t>Rules of production or inference</t>
  </si>
  <si>
    <t>Axiom</t>
  </si>
  <si>
    <t>Theorems</t>
  </si>
  <si>
    <t>Is MU a theorem of the MIU-system?</t>
  </si>
  <si>
    <t>Can you derive ('proof') MU from MI?</t>
  </si>
  <si>
    <t>-p-q--</t>
  </si>
  <si>
    <r>
      <t xml:space="preserve">als </t>
    </r>
    <r>
      <rPr>
        <i/>
        <sz val="11"/>
        <color theme="1"/>
        <rFont val="Aptos Narrow"/>
        <family val="2"/>
        <scheme val="minor"/>
      </rPr>
      <t>x</t>
    </r>
    <r>
      <rPr>
        <sz val="11"/>
        <color theme="1"/>
        <rFont val="Aptos Narrow"/>
        <family val="2"/>
        <scheme val="minor"/>
      </rPr>
      <t xml:space="preserve"> p  </t>
    </r>
    <r>
      <rPr>
        <i/>
        <sz val="11"/>
        <color theme="1"/>
        <rFont val="Aptos Narrow"/>
        <family val="2"/>
        <scheme val="minor"/>
      </rPr>
      <t>y</t>
    </r>
    <r>
      <rPr>
        <sz val="11"/>
        <color theme="1"/>
        <rFont val="Aptos Narrow"/>
        <family val="2"/>
        <scheme val="minor"/>
      </rPr>
      <t xml:space="preserve"> q </t>
    </r>
    <r>
      <rPr>
        <i/>
        <sz val="11"/>
        <color theme="1"/>
        <rFont val="Aptos Narrow"/>
        <family val="2"/>
        <scheme val="minor"/>
      </rPr>
      <t>z</t>
    </r>
    <r>
      <rPr>
        <sz val="11"/>
        <color theme="1"/>
        <rFont val="Aptos Narrow"/>
        <family val="2"/>
        <scheme val="minor"/>
      </rPr>
      <t xml:space="preserve"> een theorema is, dan is</t>
    </r>
  </si>
  <si>
    <r>
      <rPr>
        <i/>
        <sz val="11"/>
        <color theme="1"/>
        <rFont val="Aptos Narrow"/>
        <family val="2"/>
        <scheme val="minor"/>
      </rPr>
      <t>x</t>
    </r>
    <r>
      <rPr>
        <sz val="11"/>
        <color theme="1"/>
        <rFont val="Aptos Narrow"/>
        <family val="2"/>
        <scheme val="minor"/>
      </rPr>
      <t xml:space="preserve"> p  </t>
    </r>
    <r>
      <rPr>
        <i/>
        <sz val="11"/>
        <color theme="1"/>
        <rFont val="Aptos Narrow"/>
        <family val="2"/>
        <scheme val="minor"/>
      </rPr>
      <t>y</t>
    </r>
    <r>
      <rPr>
        <sz val="11"/>
        <color theme="1"/>
        <rFont val="Aptos Narrow"/>
        <family val="2"/>
        <scheme val="minor"/>
      </rPr>
      <t xml:space="preserve">- q </t>
    </r>
    <r>
      <rPr>
        <i/>
        <sz val="11"/>
        <color theme="1"/>
        <rFont val="Aptos Narrow"/>
        <family val="2"/>
        <scheme val="minor"/>
      </rPr>
      <t>z</t>
    </r>
    <r>
      <rPr>
        <sz val="11"/>
        <color theme="1"/>
        <rFont val="Aptos Narrow"/>
        <family val="2"/>
        <scheme val="minor"/>
      </rPr>
      <t>- ook een theorema.</t>
    </r>
  </si>
  <si>
    <t>-p--q---</t>
  </si>
  <si>
    <t>--p--q----</t>
  </si>
  <si>
    <t>--p-q---</t>
  </si>
  <si>
    <r>
      <rPr>
        <i/>
        <sz val="11"/>
        <color theme="1"/>
        <rFont val="Aptos Narrow"/>
        <family val="2"/>
        <scheme val="minor"/>
      </rPr>
      <t>x</t>
    </r>
    <r>
      <rPr>
        <sz val="11"/>
        <color theme="1"/>
        <rFont val="Aptos Narrow"/>
        <family val="2"/>
        <scheme val="minor"/>
      </rPr>
      <t xml:space="preserve"> p - q </t>
    </r>
    <r>
      <rPr>
        <i/>
        <sz val="11"/>
        <color theme="1"/>
        <rFont val="Aptos Narrow"/>
        <family val="2"/>
        <scheme val="minor"/>
      </rPr>
      <t>x</t>
    </r>
    <r>
      <rPr>
        <sz val="11"/>
        <color theme="1"/>
        <rFont val="Aptos Narrow"/>
        <family val="2"/>
        <scheme val="minor"/>
      </rPr>
      <t xml:space="preserve"> -</t>
    </r>
  </si>
  <si>
    <t>x = - ; y = - ; z = -</t>
  </si>
  <si>
    <t>x = -- ; y = - ; z = --</t>
  </si>
  <si>
    <t>x = -- ; y = '' ; z = --</t>
  </si>
  <si>
    <t xml:space="preserve">x = - </t>
  </si>
  <si>
    <r>
      <rPr>
        <i/>
        <sz val="11"/>
        <color theme="1"/>
        <rFont val="Aptos Narrow"/>
        <family val="2"/>
        <scheme val="minor"/>
      </rPr>
      <t>x</t>
    </r>
    <r>
      <rPr>
        <sz val="11"/>
        <color theme="1"/>
        <rFont val="Aptos Narrow"/>
        <family val="2"/>
        <scheme val="minor"/>
      </rPr>
      <t xml:space="preserve"> t - q </t>
    </r>
    <r>
      <rPr>
        <i/>
        <sz val="11"/>
        <color theme="1"/>
        <rFont val="Aptos Narrow"/>
        <family val="2"/>
        <scheme val="minor"/>
      </rPr>
      <t>x</t>
    </r>
    <r>
      <rPr>
        <sz val="11"/>
        <color theme="1"/>
        <rFont val="Aptos Narrow"/>
        <family val="2"/>
        <scheme val="minor"/>
      </rPr>
      <t xml:space="preserve"> </t>
    </r>
  </si>
  <si>
    <t>-t-q-</t>
  </si>
  <si>
    <r>
      <t xml:space="preserve">als </t>
    </r>
    <r>
      <rPr>
        <i/>
        <sz val="11"/>
        <color theme="1"/>
        <rFont val="Aptos Narrow"/>
        <family val="2"/>
        <scheme val="minor"/>
      </rPr>
      <t>x</t>
    </r>
    <r>
      <rPr>
        <sz val="11"/>
        <color theme="1"/>
        <rFont val="Aptos Narrow"/>
        <family val="2"/>
        <scheme val="minor"/>
      </rPr>
      <t xml:space="preserve"> t  </t>
    </r>
    <r>
      <rPr>
        <i/>
        <sz val="11"/>
        <color theme="1"/>
        <rFont val="Aptos Narrow"/>
        <family val="2"/>
        <scheme val="minor"/>
      </rPr>
      <t>y</t>
    </r>
    <r>
      <rPr>
        <sz val="11"/>
        <color theme="1"/>
        <rFont val="Aptos Narrow"/>
        <family val="2"/>
        <scheme val="minor"/>
      </rPr>
      <t xml:space="preserve"> q </t>
    </r>
    <r>
      <rPr>
        <i/>
        <sz val="11"/>
        <color theme="1"/>
        <rFont val="Aptos Narrow"/>
        <family val="2"/>
        <scheme val="minor"/>
      </rPr>
      <t>z</t>
    </r>
    <r>
      <rPr>
        <sz val="11"/>
        <color theme="1"/>
        <rFont val="Aptos Narrow"/>
        <family val="2"/>
        <scheme val="minor"/>
      </rPr>
      <t xml:space="preserve"> een theorema is, dan is</t>
    </r>
  </si>
  <si>
    <r>
      <rPr>
        <i/>
        <sz val="11"/>
        <color theme="1"/>
        <rFont val="Aptos Narrow"/>
        <family val="2"/>
        <scheme val="minor"/>
      </rPr>
      <t>x</t>
    </r>
    <r>
      <rPr>
        <sz val="11"/>
        <color theme="1"/>
        <rFont val="Aptos Narrow"/>
        <family val="2"/>
        <scheme val="minor"/>
      </rPr>
      <t xml:space="preserve"> t  </t>
    </r>
    <r>
      <rPr>
        <i/>
        <sz val="11"/>
        <color theme="1"/>
        <rFont val="Aptos Narrow"/>
        <family val="2"/>
        <scheme val="minor"/>
      </rPr>
      <t xml:space="preserve">y- </t>
    </r>
    <r>
      <rPr>
        <sz val="11"/>
        <color theme="1"/>
        <rFont val="Aptos Narrow"/>
        <family val="2"/>
        <scheme val="minor"/>
      </rPr>
      <t xml:space="preserve">q </t>
    </r>
    <r>
      <rPr>
        <i/>
        <sz val="11"/>
        <color theme="1"/>
        <rFont val="Aptos Narrow"/>
        <family val="2"/>
        <scheme val="minor"/>
      </rPr>
      <t>zx</t>
    </r>
    <r>
      <rPr>
        <sz val="11"/>
        <color theme="1"/>
        <rFont val="Aptos Narrow"/>
        <family val="2"/>
        <scheme val="minor"/>
      </rPr>
      <t xml:space="preserve"> ook een theorema.</t>
    </r>
  </si>
  <si>
    <t>--t-q--</t>
  </si>
  <si>
    <t>--t--q----</t>
  </si>
  <si>
    <t>--t---q------</t>
  </si>
  <si>
    <t>x = -- ; y = -- ; z = ----</t>
  </si>
  <si>
    <r>
      <t xml:space="preserve">als </t>
    </r>
    <r>
      <rPr>
        <i/>
        <sz val="11"/>
        <color theme="1"/>
        <rFont val="Aptos Narrow"/>
        <family val="2"/>
        <scheme val="minor"/>
      </rPr>
      <t>x-</t>
    </r>
    <r>
      <rPr>
        <sz val="11"/>
        <color theme="1"/>
        <rFont val="Aptos Narrow"/>
        <family val="2"/>
        <scheme val="minor"/>
      </rPr>
      <t xml:space="preserve"> t  </t>
    </r>
    <r>
      <rPr>
        <i/>
        <sz val="11"/>
        <color theme="1"/>
        <rFont val="Aptos Narrow"/>
        <family val="2"/>
        <scheme val="minor"/>
      </rPr>
      <t>y-</t>
    </r>
    <r>
      <rPr>
        <sz val="11"/>
        <color theme="1"/>
        <rFont val="Aptos Narrow"/>
        <family val="2"/>
        <scheme val="minor"/>
      </rPr>
      <t xml:space="preserve"> q </t>
    </r>
    <r>
      <rPr>
        <i/>
        <sz val="11"/>
        <color theme="1"/>
        <rFont val="Aptos Narrow"/>
        <family val="2"/>
        <scheme val="minor"/>
      </rPr>
      <t>z</t>
    </r>
    <r>
      <rPr>
        <sz val="11"/>
        <color theme="1"/>
        <rFont val="Aptos Narrow"/>
        <family val="2"/>
        <scheme val="minor"/>
      </rPr>
      <t xml:space="preserve"> een theorema is, dan is</t>
    </r>
  </si>
  <si>
    <r>
      <rPr>
        <b/>
        <sz val="11"/>
        <color theme="1"/>
        <rFont val="Aptos Narrow"/>
        <family val="2"/>
        <scheme val="minor"/>
      </rPr>
      <t>C</t>
    </r>
    <r>
      <rPr>
        <i/>
        <sz val="11"/>
        <color theme="1"/>
        <rFont val="Aptos Narrow"/>
        <family val="2"/>
        <scheme val="minor"/>
      </rPr>
      <t>z</t>
    </r>
    <r>
      <rPr>
        <sz val="11"/>
        <color theme="1"/>
        <rFont val="Aptos Narrow"/>
        <family val="2"/>
        <scheme val="minor"/>
      </rPr>
      <t xml:space="preserve"> een theorema</t>
    </r>
  </si>
  <si>
    <t>Composite = deelbaar getal</t>
  </si>
  <si>
    <t>Priemgetallen</t>
  </si>
  <si>
    <t>niet-priem = composite?</t>
  </si>
  <si>
    <t>ja dus …</t>
  </si>
  <si>
    <r>
      <rPr>
        <i/>
        <sz val="11"/>
        <color theme="1"/>
        <rFont val="Aptos Narrow"/>
        <family val="2"/>
        <scheme val="minor"/>
      </rPr>
      <t xml:space="preserve">xy </t>
    </r>
    <r>
      <rPr>
        <b/>
        <sz val="11"/>
        <color theme="1"/>
        <rFont val="Aptos Narrow"/>
        <family val="2"/>
        <scheme val="minor"/>
      </rPr>
      <t>DND</t>
    </r>
    <r>
      <rPr>
        <i/>
        <sz val="11"/>
        <color theme="1"/>
        <rFont val="Aptos Narrow"/>
        <family val="2"/>
        <scheme val="minor"/>
      </rPr>
      <t xml:space="preserve"> x</t>
    </r>
  </si>
  <si>
    <t>DND = does not divide</t>
  </si>
  <si>
    <r>
      <t xml:space="preserve">als </t>
    </r>
    <r>
      <rPr>
        <i/>
        <sz val="11"/>
        <color theme="1"/>
        <rFont val="Aptos Narrow"/>
        <family val="2"/>
        <scheme val="minor"/>
      </rPr>
      <t>x</t>
    </r>
    <r>
      <rPr>
        <sz val="11"/>
        <color theme="1"/>
        <rFont val="Aptos Narrow"/>
        <family val="2"/>
        <scheme val="minor"/>
      </rPr>
      <t xml:space="preserve"> DND </t>
    </r>
    <r>
      <rPr>
        <i/>
        <sz val="11"/>
        <color theme="1"/>
        <rFont val="Aptos Narrow"/>
        <family val="2"/>
        <scheme val="minor"/>
      </rPr>
      <t>y</t>
    </r>
    <r>
      <rPr>
        <sz val="11"/>
        <color theme="1"/>
        <rFont val="Aptos Narrow"/>
        <family val="2"/>
        <scheme val="minor"/>
      </rPr>
      <t xml:space="preserve"> een theorema is, dan is</t>
    </r>
  </si>
  <si>
    <r>
      <rPr>
        <i/>
        <sz val="11"/>
        <color theme="1"/>
        <rFont val="Aptos Narrow"/>
        <family val="2"/>
        <scheme val="minor"/>
      </rPr>
      <t>x</t>
    </r>
    <r>
      <rPr>
        <sz val="11"/>
        <color theme="1"/>
        <rFont val="Aptos Narrow"/>
        <family val="2"/>
        <scheme val="minor"/>
      </rPr>
      <t xml:space="preserve"> DND </t>
    </r>
    <r>
      <rPr>
        <i/>
        <sz val="11"/>
        <color theme="1"/>
        <rFont val="Aptos Narrow"/>
        <family val="2"/>
        <scheme val="minor"/>
      </rPr>
      <t>xy</t>
    </r>
    <r>
      <rPr>
        <sz val="11"/>
        <color theme="1"/>
        <rFont val="Aptos Narrow"/>
        <family val="2"/>
        <scheme val="minor"/>
      </rPr>
      <t xml:space="preserve"> ook een theorema.</t>
    </r>
  </si>
  <si>
    <t>-- DND -</t>
  </si>
  <si>
    <t>x = - ; y = -</t>
  </si>
  <si>
    <t>-- DND ---</t>
  </si>
  <si>
    <t>x = -- ; y = -</t>
  </si>
  <si>
    <t xml:space="preserve">x = -- ; y = --- </t>
  </si>
  <si>
    <t>----- DND ------------</t>
  </si>
  <si>
    <t>DF = divisor free = niet deelbaar door</t>
  </si>
  <si>
    <r>
      <t xml:space="preserve">als -- DND </t>
    </r>
    <r>
      <rPr>
        <i/>
        <sz val="11"/>
        <color theme="1"/>
        <rFont val="Aptos Narrow"/>
        <family val="2"/>
        <scheme val="minor"/>
      </rPr>
      <t>z</t>
    </r>
    <r>
      <rPr>
        <sz val="11"/>
        <color theme="1"/>
        <rFont val="Aptos Narrow"/>
        <family val="2"/>
        <scheme val="minor"/>
      </rPr>
      <t xml:space="preserve"> een theorema is,</t>
    </r>
  </si>
  <si>
    <r>
      <t xml:space="preserve">dan </t>
    </r>
    <r>
      <rPr>
        <i/>
        <sz val="11"/>
        <color theme="1"/>
        <rFont val="Aptos Narrow"/>
        <family val="2"/>
        <scheme val="minor"/>
      </rPr>
      <t>z</t>
    </r>
    <r>
      <rPr>
        <sz val="11"/>
        <color theme="1"/>
        <rFont val="Aptos Narrow"/>
        <family val="2"/>
        <scheme val="minor"/>
      </rPr>
      <t xml:space="preserve"> DF -- eveneens.</t>
    </r>
  </si>
  <si>
    <r>
      <t xml:space="preserve">als </t>
    </r>
    <r>
      <rPr>
        <i/>
        <sz val="11"/>
        <color theme="1"/>
        <rFont val="Aptos Narrow"/>
        <family val="2"/>
        <scheme val="minor"/>
      </rPr>
      <t>z</t>
    </r>
    <r>
      <rPr>
        <sz val="11"/>
        <color theme="1"/>
        <rFont val="Aptos Narrow"/>
        <family val="2"/>
        <scheme val="minor"/>
      </rPr>
      <t xml:space="preserve"> DF </t>
    </r>
    <r>
      <rPr>
        <i/>
        <sz val="11"/>
        <color theme="1"/>
        <rFont val="Aptos Narrow"/>
        <family val="2"/>
        <scheme val="minor"/>
      </rPr>
      <t>x</t>
    </r>
    <r>
      <rPr>
        <sz val="11"/>
        <color theme="1"/>
        <rFont val="Aptos Narrow"/>
        <family val="2"/>
        <scheme val="minor"/>
      </rPr>
      <t xml:space="preserve"> een theorema is en</t>
    </r>
  </si>
  <si>
    <r>
      <rPr>
        <i/>
        <sz val="11"/>
        <color theme="1"/>
        <rFont val="Aptos Narrow"/>
        <family val="2"/>
        <scheme val="minor"/>
      </rPr>
      <t>x</t>
    </r>
    <r>
      <rPr>
        <sz val="11"/>
        <color theme="1"/>
        <rFont val="Aptos Narrow"/>
        <family val="2"/>
        <scheme val="minor"/>
      </rPr>
      <t xml:space="preserve">- DND </t>
    </r>
    <r>
      <rPr>
        <i/>
        <sz val="11"/>
        <color theme="1"/>
        <rFont val="Aptos Narrow"/>
        <family val="2"/>
        <scheme val="minor"/>
      </rPr>
      <t>z</t>
    </r>
    <r>
      <rPr>
        <sz val="11"/>
        <color theme="1"/>
        <rFont val="Aptos Narrow"/>
        <family val="2"/>
        <scheme val="minor"/>
      </rPr>
      <t xml:space="preserve"> is een theorema, dan is</t>
    </r>
  </si>
  <si>
    <r>
      <rPr>
        <i/>
        <sz val="11"/>
        <color theme="1"/>
        <rFont val="Aptos Narrow"/>
        <family val="2"/>
        <scheme val="minor"/>
      </rPr>
      <t>z</t>
    </r>
    <r>
      <rPr>
        <sz val="11"/>
        <color theme="1"/>
        <rFont val="Aptos Narrow"/>
        <family val="2"/>
        <scheme val="minor"/>
      </rPr>
      <t xml:space="preserve"> DF </t>
    </r>
    <r>
      <rPr>
        <i/>
        <sz val="11"/>
        <color theme="1"/>
        <rFont val="Aptos Narrow"/>
        <family val="2"/>
        <scheme val="minor"/>
      </rPr>
      <t>x</t>
    </r>
    <r>
      <rPr>
        <sz val="11"/>
        <color theme="1"/>
        <rFont val="Aptos Narrow"/>
        <family val="2"/>
        <scheme val="minor"/>
      </rPr>
      <t xml:space="preserve"> - ook een theorema.</t>
    </r>
  </si>
  <si>
    <t>P = priemgetal</t>
  </si>
  <si>
    <r>
      <t xml:space="preserve">als </t>
    </r>
    <r>
      <rPr>
        <i/>
        <sz val="11"/>
        <color theme="1"/>
        <rFont val="Aptos Narrow"/>
        <family val="2"/>
        <scheme val="minor"/>
      </rPr>
      <t>z</t>
    </r>
    <r>
      <rPr>
        <sz val="11"/>
        <color theme="1"/>
        <rFont val="Aptos Narrow"/>
        <family val="2"/>
        <scheme val="minor"/>
      </rPr>
      <t xml:space="preserve"> - DF</t>
    </r>
    <r>
      <rPr>
        <i/>
        <sz val="11"/>
        <color theme="1"/>
        <rFont val="Aptos Narrow"/>
        <family val="2"/>
        <scheme val="minor"/>
      </rPr>
      <t xml:space="preserve"> z</t>
    </r>
    <r>
      <rPr>
        <sz val="11"/>
        <color theme="1"/>
        <rFont val="Aptos Narrow"/>
        <family val="2"/>
        <scheme val="minor"/>
      </rPr>
      <t xml:space="preserve"> een theorema is, dan is</t>
    </r>
  </si>
  <si>
    <r>
      <t xml:space="preserve">P </t>
    </r>
    <r>
      <rPr>
        <i/>
        <sz val="11"/>
        <color theme="1"/>
        <rFont val="Aptos Narrow"/>
        <family val="2"/>
        <scheme val="minor"/>
      </rPr>
      <t>z</t>
    </r>
    <r>
      <rPr>
        <sz val="11"/>
        <color theme="1"/>
        <rFont val="Aptos Narrow"/>
        <family val="2"/>
        <scheme val="minor"/>
      </rPr>
      <t xml:space="preserve"> ook een theorema.</t>
    </r>
  </si>
  <si>
    <t>P --</t>
  </si>
  <si>
    <t>2 is een priemgetal</t>
  </si>
  <si>
    <t>?</t>
  </si>
  <si>
    <t>--- DF --</t>
  </si>
  <si>
    <t>--- DND ---</t>
  </si>
  <si>
    <t>--- DF ---</t>
  </si>
  <si>
    <t>---- DF ---</t>
  </si>
  <si>
    <t>P---</t>
  </si>
  <si>
    <t>Puzzle op blz 73:</t>
  </si>
  <si>
    <t>z = ---</t>
  </si>
  <si>
    <t>x = -- ; z = ---</t>
  </si>
  <si>
    <t>Q</t>
  </si>
  <si>
    <t>Q van 2</t>
  </si>
  <si>
    <t>+</t>
  </si>
  <si>
    <t>4 - Q van 3</t>
  </si>
  <si>
    <t>4 - Q van 2</t>
  </si>
  <si>
    <t>Q van 3</t>
  </si>
  <si>
    <t>3 - Q van 1</t>
  </si>
  <si>
    <t>3 - Q van 2</t>
  </si>
  <si>
    <t>5 - Q van 4</t>
  </si>
  <si>
    <t>5 - Q van 3</t>
  </si>
  <si>
    <t>6 - Q van 4</t>
  </si>
  <si>
    <t>6 - Q van 5</t>
  </si>
  <si>
    <t>7 - Q van 5</t>
  </si>
  <si>
    <t>7 - Q van 6</t>
  </si>
  <si>
    <t>8 - Q van 7</t>
  </si>
  <si>
    <t>9 - Q van 8</t>
  </si>
  <si>
    <t>10 - Q van 9</t>
  </si>
  <si>
    <t>11 - Q van 10</t>
  </si>
  <si>
    <t>12 - Q van 11</t>
  </si>
  <si>
    <t>13 - Q van 12</t>
  </si>
  <si>
    <t>14 - Q van 13</t>
  </si>
  <si>
    <t>15 - Q van 14</t>
  </si>
  <si>
    <t>16 - Q van 15</t>
  </si>
  <si>
    <t>17 - Q van 16</t>
  </si>
  <si>
    <t>18 - Q van 17</t>
  </si>
  <si>
    <t>8 - Q van 6</t>
  </si>
  <si>
    <t>9 - Q van 7</t>
  </si>
  <si>
    <t>10 - Q van 8</t>
  </si>
  <si>
    <t>11 - Q van 9</t>
  </si>
  <si>
    <t>12 - Q van 10</t>
  </si>
  <si>
    <t>13 - Q van 11</t>
  </si>
  <si>
    <t>14 - Q van 12</t>
  </si>
  <si>
    <t>15 - Q van 13</t>
  </si>
  <si>
    <t>16 - Q van 14</t>
  </si>
  <si>
    <t>17 - Q van 15</t>
  </si>
  <si>
    <t>18 - Q van 16</t>
  </si>
  <si>
    <t>Q van 4</t>
  </si>
  <si>
    <t>Q van 5</t>
  </si>
  <si>
    <t>Q van 6</t>
  </si>
  <si>
    <t>Q(n) = Q(n - Q(n-1)) + Q(n - Q(n-2))</t>
  </si>
  <si>
    <t>Q van 7</t>
  </si>
  <si>
    <t>Q van 8</t>
  </si>
  <si>
    <t>Q van 9</t>
  </si>
  <si>
    <t>Symbolen:</t>
  </si>
  <si>
    <t>P</t>
  </si>
  <si>
    <t>R</t>
  </si>
  <si>
    <t>'</t>
  </si>
  <si>
    <t>&lt;</t>
  </si>
  <si>
    <t>&gt;</t>
  </si>
  <si>
    <t>^</t>
  </si>
  <si>
    <t>~</t>
  </si>
  <si>
    <t>en</t>
  </si>
  <si>
    <t>niet</t>
  </si>
  <si>
    <t>v</t>
  </si>
  <si>
    <t>[</t>
  </si>
  <si>
    <t>]</t>
  </si>
  <si>
    <t>als .. dan</t>
  </si>
  <si>
    <t>⊃</t>
  </si>
  <si>
    <t>als x en y een theorema zijn, dan zijn ook:</t>
  </si>
  <si>
    <t>~x</t>
  </si>
  <si>
    <t>&lt;x v y&gt;</t>
  </si>
  <si>
    <t>&lt;x ^ y&gt;</t>
  </si>
  <si>
    <t>&lt;x ⊃ y&gt;</t>
  </si>
  <si>
    <t>theorema's</t>
  </si>
  <si>
    <t>als &lt;x ^ y&gt; een theorema is, dan is ook</t>
  </si>
  <si>
    <t>x</t>
  </si>
  <si>
    <t>een theorema</t>
  </si>
  <si>
    <t>y</t>
  </si>
  <si>
    <t>joining rule</t>
  </si>
  <si>
    <t>separation rule</t>
  </si>
  <si>
    <t>~~</t>
  </si>
  <si>
    <t>kan toegevoegd aan of weggelaten worden bij ieder theorema</t>
  </si>
  <si>
    <t>double-tilde rule</t>
  </si>
  <si>
    <t>als y bewezen kan worden onder de aanname dat x een theorema is, dan geldt:</t>
  </si>
  <si>
    <t>is een theorema</t>
  </si>
  <si>
    <t>fantasy-rule</t>
  </si>
  <si>
    <t>5.</t>
  </si>
  <si>
    <t>carry-over rule</t>
  </si>
  <si>
    <t>binnen een verzonnen systeem mag ieder theorema van 1 niveau hoger gebruikt worden</t>
  </si>
  <si>
    <t>6.</t>
  </si>
  <si>
    <t xml:space="preserve">als </t>
  </si>
  <si>
    <t xml:space="preserve">beide theorema's zijn, dan is </t>
  </si>
  <si>
    <t>ook een theorema</t>
  </si>
  <si>
    <t>rule of detachment</t>
  </si>
  <si>
    <t>7.</t>
  </si>
  <si>
    <t>zijn hetzelfde</t>
  </si>
  <si>
    <t>&lt;~y ⊃ ~x&gt;</t>
  </si>
  <si>
    <t>contrapositive rule</t>
  </si>
  <si>
    <t>8.</t>
  </si>
  <si>
    <t>&lt;~x ^ ~y&gt;</t>
  </si>
  <si>
    <t>~&lt;x v y&gt;</t>
  </si>
  <si>
    <t>De Morgan's rule</t>
  </si>
  <si>
    <t>9.</t>
  </si>
  <si>
    <t>&lt;~x ⊃ y&gt;</t>
  </si>
  <si>
    <t>Switcheroo rule</t>
  </si>
  <si>
    <t>'Modus Ponens'</t>
  </si>
  <si>
    <t>Deduction Theorem</t>
  </si>
  <si>
    <t>is er niet</t>
  </si>
  <si>
    <t>~P</t>
  </si>
  <si>
    <t>~~P</t>
  </si>
  <si>
    <t>Q'</t>
  </si>
  <si>
    <t>&lt;P ^ ~Q'&gt;</t>
  </si>
  <si>
    <t>~&lt;P ^ ~Q'&gt;</t>
  </si>
  <si>
    <t>&lt;~~P ⊃ Q'&gt;</t>
  </si>
  <si>
    <t>&lt;~&lt;P ^ ~Q'&gt; ^ &lt;~~P ⊃ Q'&gt;&gt;</t>
  </si>
  <si>
    <t>Typographical Number Theory</t>
  </si>
  <si>
    <t>S0</t>
  </si>
  <si>
    <t>a, b, c, d, e</t>
  </si>
  <si>
    <t>∀</t>
  </si>
  <si>
    <t>voor alle</t>
  </si>
  <si>
    <t>∃</t>
  </si>
  <si>
    <t>er bestaat</t>
  </si>
  <si>
    <t>Axioms</t>
  </si>
  <si>
    <t>∀a: ~Sa = 0</t>
  </si>
  <si>
    <t>∀a: (a + 0) = a</t>
  </si>
  <si>
    <t>∀a: ∀b: (a + Sb) = S(a + b)</t>
  </si>
  <si>
    <t>∀a: (a . 0) = 0</t>
  </si>
  <si>
    <t>∀a: ∀b: (a . Sb) = ((a . b) + a)</t>
  </si>
  <si>
    <t>zie blz 213-214, 217-219 en 224</t>
  </si>
  <si>
    <t>∃e: (SS0 . e) = SSSSSS0</t>
  </si>
  <si>
    <t>~∃b: (b . b) = SS0</t>
  </si>
  <si>
    <t>M</t>
  </si>
  <si>
    <t>I</t>
  </si>
  <si>
    <t>U</t>
  </si>
  <si>
    <t>Symbolen</t>
  </si>
  <si>
    <t>p</t>
  </si>
  <si>
    <t>q</t>
  </si>
  <si>
    <t>-</t>
  </si>
  <si>
    <t>t</t>
  </si>
  <si>
    <t>DND, DF</t>
  </si>
  <si>
    <t>2 is not a square (er bestaat geen geheel getal b waarvoor geldt dat b x b gelijk is aan 2; dus 2 is geen kwadraat)</t>
  </si>
  <si>
    <t>6 is even (er bestaat een geheel getal e waarvoor geldt dat 2 maal e = 6; dus 6 is deelbaar door 2, dus 6 is even)</t>
  </si>
  <si>
    <t>Oplossingen bij 3:</t>
  </si>
  <si>
    <t>1729 is a sum of two cubes (er bestaat een geheel getal b en een geheel getal c waarvoor geldt dat 1729 = b^3 + c^3)</t>
  </si>
  <si>
    <t>9 en 10 &amp; 1 en 12</t>
  </si>
  <si>
    <t>∀a: ~∃b: ∃c: ((a . a) . a) = (((Sb . Sb) . Sb) + ((Sc . Sc) . Sc))</t>
  </si>
  <si>
    <t xml:space="preserve">∃b: ∃c: SSSSSS …. S0 = (((b . b) .b) + ((c . c) . c)) </t>
  </si>
  <si>
    <t>no sum of two positive cubes is itself a cube (voor alle a geldt: er bestaan geen gehele getallen b en c waarvoor geldt dat a^3 = b^3 + c^3)</t>
  </si>
  <si>
    <t xml:space="preserve">~∃b: ∃c: SSSSS0= (SSb . SSc) </t>
  </si>
  <si>
    <t>5 is prime (er bestaan geen getallen b en c groter dan 1 waarvoor geldt dat 5 = b x c; dus 5 is alleen deelbaar door 1 en 5, dus 5 is een priemgetal)</t>
  </si>
  <si>
    <t xml:space="preserve">∀d: ∃e: ~∃b: ∃c: (d + Se) = (SSb . SSc) </t>
  </si>
  <si>
    <t>there are infinitely many prime numbers (voor alle gehele getallen d geldt dat er een geheel getal (d+Se) bestaat, groter dan d, waarvoor geldt dat er geen getallen b en c groter dan 1 bestaan waarvoor geldt dat (d+Se) = b x c; dus er zijn oneindig veel priemgetallen)</t>
  </si>
  <si>
    <t>~∀c: ∃b: (SS0 . b) = c</t>
  </si>
  <si>
    <t>Translation Puzzles</t>
  </si>
  <si>
    <t>∀c: ~∃b: (SS0 . b) = c</t>
  </si>
  <si>
    <t>het is niet zo dat voor alle getallen c geldt dat er een geheel getal b bestaat waarvoor geldt dat 2 x b = c</t>
  </si>
  <si>
    <t>T</t>
  </si>
  <si>
    <t>True or False</t>
  </si>
  <si>
    <t>voor alle getallen c geldt dat er geen geheel getal b bestaat  waarvoor geldt dat 2 x b = c</t>
  </si>
  <si>
    <t>F</t>
  </si>
  <si>
    <t>∀c: ∃b: ~(SS0 . b) = c</t>
  </si>
  <si>
    <t>voor alle getallen c geldt dat er een geheel getal b bestaat  waarvoor niet geldt dat 2 x b = c</t>
  </si>
  <si>
    <t>~∃b: ∀c: (SS0 . b) = c</t>
  </si>
  <si>
    <t>er bestaat geen geheel getal b waarvoor geldt dat voor alle getallen c 2 x b = c</t>
  </si>
  <si>
    <t>zie 1</t>
  </si>
  <si>
    <t>∃b: ~∀c: (SS0 . b) = c</t>
  </si>
  <si>
    <t>er bestaat een geheel getal b waarvoor geldt dat niet voor alle getallen c geldt 2 x b = c</t>
  </si>
  <si>
    <t>∃b: ∀c: ~(SS0 . b) = c</t>
  </si>
  <si>
    <t>er bestaat een geheel getal b waarvoor geldt dat voor alle getallen c niet geldt 2 x b = c</t>
  </si>
  <si>
    <t>c = oneven, geen geheel getal b</t>
  </si>
  <si>
    <t>Toelichting bij 5: Euclid's theorem:</t>
  </si>
  <si>
    <t xml:space="preserve">https://en.wikipedia.org/wiki/Euclid%27s_theorem </t>
  </si>
  <si>
    <r>
      <t>G</t>
    </r>
    <r>
      <rPr>
        <b/>
        <sz val="11"/>
        <color theme="1"/>
        <rFont val="Aptos Narrow"/>
        <family val="2"/>
      </rPr>
      <t>ödel-numbering</t>
    </r>
  </si>
  <si>
    <t>Is 30 a MIU-number?</t>
  </si>
  <si>
    <t>als we 10m + 1 gemaakt hebben, kunnen we ook 10 x (10m + 1) maken</t>
  </si>
  <si>
    <t>Arithmetically:</t>
  </si>
  <si>
    <r>
      <t xml:space="preserve">m = 30: 10 x 30 + 1 = 301 </t>
    </r>
    <r>
      <rPr>
        <sz val="11"/>
        <color theme="1"/>
        <rFont val="Aptos Narrow"/>
        <family val="2"/>
      </rPr>
      <t>→</t>
    </r>
    <r>
      <rPr>
        <sz val="11"/>
        <color theme="1"/>
        <rFont val="Aptos Narrow"/>
        <family val="2"/>
        <scheme val="minor"/>
      </rPr>
      <t xml:space="preserve"> 10 x (10 x 30 + 1) = 3010</t>
    </r>
  </si>
  <si>
    <r>
      <t xml:space="preserve">m = 1, n = 1: 3 x 10^1 + 1 = 31 </t>
    </r>
    <r>
      <rPr>
        <sz val="11"/>
        <color theme="1"/>
        <rFont val="Aptos Narrow"/>
        <family val="2"/>
      </rPr>
      <t>→ 10^1 x (3 x 10^1 + 1) + 1 = 311</t>
    </r>
  </si>
  <si>
    <r>
      <t xml:space="preserve">k = 3, m = 1, n = 1: 3 x 10^4 + 111 x 10^1 + 1 = 31111 </t>
    </r>
    <r>
      <rPr>
        <sz val="11"/>
        <color theme="1"/>
        <rFont val="Aptos Narrow"/>
        <family val="2"/>
      </rPr>
      <t>→</t>
    </r>
    <r>
      <rPr>
        <sz val="11"/>
        <color theme="1"/>
        <rFont val="Aptos Narrow"/>
        <family val="2"/>
        <scheme val="minor"/>
      </rPr>
      <t xml:space="preserve"> 3 x 10^2 + 1 = 301</t>
    </r>
  </si>
  <si>
    <t>als we 3 x 10^(m) + n gemaakt hebben, kunnen we ook 10^(m) x (3 x 10^(m) + n) + n maken</t>
  </si>
  <si>
    <t>als we k x 10^(m+3) + 111 x 10^(m) + n gemaakt hebben, kunnen we ook k x 10^(m+1) + n maken</t>
  </si>
  <si>
    <t>als we k x 10^(m+2) + n gemaakt hebben, kunnen we ook k x 10^(m) + n maken</t>
  </si>
  <si>
    <r>
      <t xml:space="preserve">k = 301, m = 0, n = 0: 301 x 10^2 + 0 = 30100 </t>
    </r>
    <r>
      <rPr>
        <sz val="11"/>
        <color theme="1"/>
        <rFont val="Aptos Narrow"/>
        <family val="2"/>
      </rPr>
      <t>→ 301 x 10^0 + 0 = 301</t>
    </r>
  </si>
  <si>
    <t>S</t>
  </si>
  <si>
    <t>=</t>
  </si>
  <si>
    <t>(</t>
  </si>
  <si>
    <t>)</t>
  </si>
  <si>
    <t>.</t>
  </si>
  <si>
    <t>a</t>
  </si>
  <si>
    <t>:</t>
  </si>
  <si>
    <r>
      <t>G</t>
    </r>
    <r>
      <rPr>
        <b/>
        <sz val="11"/>
        <color theme="1"/>
        <rFont val="Aptos Narrow"/>
        <family val="2"/>
      </rPr>
      <t>ödel-numbering</t>
    </r>
    <r>
      <rPr>
        <b/>
        <sz val="11"/>
        <color theme="1"/>
        <rFont val="Aptos Narrow"/>
        <family val="2"/>
        <scheme val="minor"/>
      </rPr>
      <t>:</t>
    </r>
  </si>
  <si>
    <t>626 262 636 223 123 262 111 666</t>
  </si>
  <si>
    <t>Typographical Number Theory (austere TNT)</t>
  </si>
  <si>
    <r>
      <t xml:space="preserve">Is </t>
    </r>
    <r>
      <rPr>
        <b/>
        <sz val="11"/>
        <color theme="1"/>
        <rFont val="Aptos Narrow"/>
        <family val="2"/>
        <scheme val="minor"/>
      </rPr>
      <t>a</t>
    </r>
    <r>
      <rPr>
        <sz val="11"/>
        <color theme="1"/>
        <rFont val="Aptos Narrow"/>
        <family val="2"/>
        <scheme val="minor"/>
      </rPr>
      <t xml:space="preserve"> a TNT-number?</t>
    </r>
  </si>
  <si>
    <t>S0 = 0</t>
  </si>
  <si>
    <t>123 666 111 666</t>
  </si>
  <si>
    <r>
      <t xml:space="preserve">Is </t>
    </r>
    <r>
      <rPr>
        <b/>
        <sz val="11"/>
        <color theme="1"/>
        <rFont val="Aptos Narrow"/>
        <family val="2"/>
        <scheme val="minor"/>
      </rPr>
      <t>G</t>
    </r>
    <r>
      <rPr>
        <sz val="11"/>
        <color theme="1"/>
        <rFont val="Aptos Narrow"/>
        <family val="2"/>
        <scheme val="minor"/>
      </rPr>
      <t xml:space="preserve"> a theorem of TNT, or not?</t>
    </r>
  </si>
  <si>
    <t>G: I am not a theorem (of TNT).</t>
  </si>
  <si>
    <t>~G: My negation is a theorem (of TNT).</t>
  </si>
  <si>
    <t>indien waar, dan niet waar.</t>
  </si>
  <si>
    <t xml:space="preserve">https://mitocw.ups.edu.ec/high-school/humanities-and-social-sciences/godel-escher-bach/index.htm </t>
  </si>
  <si>
    <t xml:space="preserve">https://web.archive.org/web/20160304043854/http://miu.edlogic.co.uk/ </t>
  </si>
  <si>
    <t>F(n) = n - M(F(n-1))</t>
  </si>
  <si>
    <t>M(n) = n - F(M(n-1))</t>
  </si>
  <si>
    <t>F(0) = 1</t>
  </si>
  <si>
    <t>M(0) = 0</t>
  </si>
  <si>
    <t>n</t>
  </si>
  <si>
    <t xml:space="preserve">https://en.wikipedia.org/wiki/Russell%27s_paradox  </t>
  </si>
  <si>
    <t xml:space="preserve">https://en.wikipedia.org/wiki/Jabberwocky </t>
  </si>
  <si>
    <t xml:space="preserve">https://en.wikipedia.org/wiki/G%C3%B6del,_Escher,_Bach </t>
  </si>
  <si>
    <t>π  =</t>
  </si>
  <si>
    <t>π/4  =</t>
  </si>
  <si>
    <t>=1-1/3+1/5-1/7+1/9-1/11+1/13-1/15+1/17-1/19+1/21-1/23+1/25-1/27+ …</t>
  </si>
  <si>
    <t xml:space="preserve">https://colab.research.google.com/drive/1bqjDEKiEzFmGvMT9k-IimX6qgsiIvydS?usp=sharing </t>
  </si>
  <si>
    <t>Colab:</t>
  </si>
  <si>
    <t>BlooP</t>
  </si>
  <si>
    <t xml:space="preserve">https://en.wikipedia.org/wiki/Goldbach%27s_conjecture </t>
  </si>
  <si>
    <t>= Bounded Loop</t>
  </si>
  <si>
    <t>FlooP</t>
  </si>
  <si>
    <t>= Free Loop</t>
  </si>
  <si>
    <t>GlooP</t>
  </si>
  <si>
    <r>
      <t>= G</t>
    </r>
    <r>
      <rPr>
        <b/>
        <sz val="11"/>
        <color theme="1"/>
        <rFont val="Aptos Narrow"/>
        <family val="2"/>
      </rPr>
      <t>ödel Loop?</t>
    </r>
  </si>
  <si>
    <t>,</t>
  </si>
  <si>
    <t>vul in voor a en a': 1 = S0</t>
  </si>
  <si>
    <t>vul in  voor a en a': 2 = SS0</t>
  </si>
  <si>
    <t>262 111 123 666</t>
  </si>
  <si>
    <t>Arithmoquining</t>
  </si>
  <si>
    <r>
      <t>vervang nu a door het G</t>
    </r>
    <r>
      <rPr>
        <sz val="11"/>
        <color theme="1"/>
        <rFont val="Aptos Narrow"/>
        <family val="2"/>
      </rPr>
      <t>ödelgetal:</t>
    </r>
  </si>
  <si>
    <t>262 111 123 666 S'n = S0</t>
  </si>
  <si>
    <t>~a = S0</t>
  </si>
  <si>
    <t xml:space="preserve">a = S0 </t>
  </si>
  <si>
    <t>G's uncle:</t>
  </si>
  <si>
    <t>blz 440 Proof-Pairs:</t>
  </si>
  <si>
    <t>blz 444 Substitution:</t>
  </si>
  <si>
    <t>~∃a: ∃a': &lt;TNT-PROOF-PAIR {a, a'} ^ ARITHMOQUINE {a'', a'} &gt;</t>
  </si>
  <si>
    <t>223 333 262 636 333 262 163 636 212 ….. 161 ….. 213</t>
  </si>
  <si>
    <r>
      <t xml:space="preserve">= </t>
    </r>
    <r>
      <rPr>
        <i/>
        <sz val="11"/>
        <color theme="1"/>
        <rFont val="Aptos Narrow"/>
        <family val="2"/>
        <scheme val="minor"/>
      </rPr>
      <t>u</t>
    </r>
  </si>
  <si>
    <r>
      <t>G</t>
    </r>
    <r>
      <rPr>
        <b/>
        <sz val="11"/>
        <color theme="1"/>
        <rFont val="Aptos Narrow"/>
        <family val="2"/>
      </rPr>
      <t>ödel's string G</t>
    </r>
    <r>
      <rPr>
        <b/>
        <sz val="11"/>
        <color theme="1"/>
        <rFont val="Aptos Narrow"/>
        <family val="2"/>
        <scheme val="minor"/>
      </rPr>
      <t>:</t>
    </r>
  </si>
  <si>
    <r>
      <t xml:space="preserve">vervang a'' door </t>
    </r>
    <r>
      <rPr>
        <i/>
        <sz val="11"/>
        <color theme="1"/>
        <rFont val="Aptos Narrow"/>
        <family val="2"/>
        <scheme val="minor"/>
      </rPr>
      <t>u</t>
    </r>
  </si>
  <si>
    <t>~∃a: ∃a': &lt;TNT-PROOF-PAIR {a, a'} ^ ARITHMOQUINE {SSSS ….S0/a'', a'} &gt;</t>
  </si>
  <si>
    <t>In English:</t>
  </si>
  <si>
    <r>
      <t xml:space="preserve">'There is no number </t>
    </r>
    <r>
      <rPr>
        <b/>
        <sz val="11"/>
        <color theme="1"/>
        <rFont val="Aptos Narrow"/>
        <family val="2"/>
        <scheme val="minor"/>
      </rPr>
      <t>a</t>
    </r>
    <r>
      <rPr>
        <sz val="11"/>
        <color theme="1"/>
        <rFont val="Aptos Narrow"/>
        <family val="2"/>
        <scheme val="minor"/>
      </rPr>
      <t xml:space="preserve"> that forms a TNT-proof pair with the arithmoquinification of </t>
    </r>
    <r>
      <rPr>
        <i/>
        <sz val="11"/>
        <color theme="1"/>
        <rFont val="Aptos Narrow"/>
        <family val="2"/>
        <scheme val="minor"/>
      </rPr>
      <t>u.'</t>
    </r>
  </si>
  <si>
    <r>
      <t>'The formula whose G</t>
    </r>
    <r>
      <rPr>
        <sz val="11"/>
        <color theme="1"/>
        <rFont val="Aptos Narrow"/>
        <family val="2"/>
      </rPr>
      <t xml:space="preserve">ödel number is the arithmoquinification of </t>
    </r>
    <r>
      <rPr>
        <i/>
        <sz val="11"/>
        <color theme="1"/>
        <rFont val="Aptos Narrow"/>
        <family val="2"/>
      </rPr>
      <t>u</t>
    </r>
    <r>
      <rPr>
        <sz val="11"/>
        <color theme="1"/>
        <rFont val="Aptos Narrow"/>
        <family val="2"/>
      </rPr>
      <t xml:space="preserve"> is not a theorem of TNT.'</t>
    </r>
  </si>
  <si>
    <t>In het Nederlands:</t>
  </si>
  <si>
    <t>Waar komt de oom vandaan?</t>
  </si>
  <si>
    <r>
      <t xml:space="preserve">'Er is geen getal </t>
    </r>
    <r>
      <rPr>
        <b/>
        <sz val="11"/>
        <color theme="1"/>
        <rFont val="Aptos Narrow"/>
        <family val="2"/>
        <scheme val="minor"/>
      </rPr>
      <t>a</t>
    </r>
    <r>
      <rPr>
        <sz val="11"/>
        <color theme="1"/>
        <rFont val="Aptos Narrow"/>
        <family val="2"/>
        <scheme val="minor"/>
      </rPr>
      <t xml:space="preserve"> dat een TNT-bewijspaar vormt met de aritmoquinificatie van </t>
    </r>
    <r>
      <rPr>
        <i/>
        <sz val="11"/>
        <color theme="1"/>
        <rFont val="Aptos Narrow"/>
        <family val="2"/>
        <scheme val="minor"/>
      </rPr>
      <t>u</t>
    </r>
    <r>
      <rPr>
        <sz val="11"/>
        <color theme="1"/>
        <rFont val="Aptos Narrow"/>
        <family val="2"/>
        <scheme val="minor"/>
      </rPr>
      <t>.'</t>
    </r>
  </si>
  <si>
    <r>
      <t>'De formule met als G</t>
    </r>
    <r>
      <rPr>
        <sz val="11"/>
        <color theme="1"/>
        <rFont val="Aptos Narrow"/>
        <family val="2"/>
      </rPr>
      <t xml:space="preserve">ödelgetal de aritmoquinificatie van </t>
    </r>
    <r>
      <rPr>
        <i/>
        <sz val="11"/>
        <color theme="1"/>
        <rFont val="Aptos Narrow"/>
        <family val="2"/>
      </rPr>
      <t>u</t>
    </r>
    <r>
      <rPr>
        <sz val="11"/>
        <color theme="1"/>
        <rFont val="Aptos Narrow"/>
        <family val="2"/>
      </rPr>
      <t xml:space="preserve"> is geen stelling van TNT.'</t>
    </r>
  </si>
  <si>
    <r>
      <t xml:space="preserve">Dus: </t>
    </r>
    <r>
      <rPr>
        <b/>
        <sz val="11"/>
        <color theme="1"/>
        <rFont val="Aptos Narrow"/>
        <family val="2"/>
        <scheme val="minor"/>
      </rPr>
      <t>G</t>
    </r>
    <r>
      <rPr>
        <sz val="11"/>
        <color theme="1"/>
        <rFont val="Aptos Narrow"/>
        <family val="2"/>
        <scheme val="minor"/>
      </rPr>
      <t xml:space="preserve"> is an undecidable proposition.</t>
    </r>
  </si>
  <si>
    <r>
      <t xml:space="preserve">Dus: </t>
    </r>
    <r>
      <rPr>
        <b/>
        <sz val="11"/>
        <color theme="1"/>
        <rFont val="Aptos Narrow"/>
        <family val="2"/>
        <scheme val="minor"/>
      </rPr>
      <t>G</t>
    </r>
    <r>
      <rPr>
        <sz val="11"/>
        <color theme="1"/>
        <rFont val="Aptos Narrow"/>
        <family val="2"/>
        <scheme val="minor"/>
      </rPr>
      <t xml:space="preserve"> is een onbeslisbare propositie.</t>
    </r>
  </si>
  <si>
    <t>A</t>
  </si>
  <si>
    <t>C</t>
  </si>
  <si>
    <t>G</t>
  </si>
  <si>
    <t>Strands</t>
  </si>
  <si>
    <t>cut</t>
  </si>
  <si>
    <t>del</t>
  </si>
  <si>
    <t>swi</t>
  </si>
  <si>
    <t>mvr</t>
  </si>
  <si>
    <t>mvl</t>
  </si>
  <si>
    <t>cop</t>
  </si>
  <si>
    <t>off</t>
  </si>
  <si>
    <t>ina</t>
  </si>
  <si>
    <t>inc</t>
  </si>
  <si>
    <t>ing</t>
  </si>
  <si>
    <t>int</t>
  </si>
  <si>
    <t>rpy</t>
  </si>
  <si>
    <t>rpu</t>
  </si>
  <si>
    <t>lpy</t>
  </si>
  <si>
    <t>lpu</t>
  </si>
  <si>
    <t>purines</t>
  </si>
  <si>
    <t>pyrimidines</t>
  </si>
  <si>
    <t>Symbolen = Basen</t>
  </si>
  <si>
    <t>Types of commands = Amino Acids</t>
  </si>
  <si>
    <t>Rules of production or inference = Typogenetic code</t>
  </si>
  <si>
    <t xml:space="preserve">https://en.wikipedia.org/wiki/DNA </t>
  </si>
  <si>
    <t xml:space="preserve">https://en.wikipedia.org/wiki/RNA </t>
  </si>
  <si>
    <t xml:space="preserve">https://en.wikipedia.org/wiki/Nucleotide </t>
  </si>
  <si>
    <t xml:space="preserve">https://dev.to/palm86/a-typogenetics-implementation-in-elixir-1jfg </t>
  </si>
  <si>
    <t xml:space="preserve">https://github.com/lechimp-p/Typogenetics </t>
  </si>
  <si>
    <t xml:space="preserve">https://www.reddit.com/r/GEB/comments/wv40h/puzzles_for_ch_16_can_you_make_a_typogenetic/ </t>
  </si>
  <si>
    <r>
      <t xml:space="preserve">cut
</t>
    </r>
    <r>
      <rPr>
        <i/>
        <sz val="11"/>
        <color theme="1"/>
        <rFont val="Aptos Narrow"/>
        <family val="2"/>
        <scheme val="minor"/>
      </rPr>
      <t>s</t>
    </r>
  </si>
  <si>
    <r>
      <t xml:space="preserve">del
</t>
    </r>
    <r>
      <rPr>
        <i/>
        <sz val="11"/>
        <color theme="1"/>
        <rFont val="Aptos Narrow"/>
        <family val="2"/>
        <scheme val="minor"/>
      </rPr>
      <t>s</t>
    </r>
  </si>
  <si>
    <r>
      <t xml:space="preserve">swi
</t>
    </r>
    <r>
      <rPr>
        <i/>
        <sz val="11"/>
        <color theme="1"/>
        <rFont val="Aptos Narrow"/>
        <family val="2"/>
        <scheme val="minor"/>
      </rPr>
      <t>r</t>
    </r>
  </si>
  <si>
    <r>
      <t xml:space="preserve">mvr
</t>
    </r>
    <r>
      <rPr>
        <i/>
        <sz val="11"/>
        <color theme="1"/>
        <rFont val="Aptos Narrow"/>
        <family val="2"/>
        <scheme val="minor"/>
      </rPr>
      <t>s</t>
    </r>
  </si>
  <si>
    <r>
      <t xml:space="preserve">mvl
</t>
    </r>
    <r>
      <rPr>
        <i/>
        <sz val="11"/>
        <color theme="1"/>
        <rFont val="Aptos Narrow"/>
        <family val="2"/>
        <scheme val="minor"/>
      </rPr>
      <t>s</t>
    </r>
  </si>
  <si>
    <r>
      <t xml:space="preserve">cop
</t>
    </r>
    <r>
      <rPr>
        <i/>
        <sz val="11"/>
        <color theme="1"/>
        <rFont val="Aptos Narrow"/>
        <family val="2"/>
        <scheme val="minor"/>
      </rPr>
      <t>r</t>
    </r>
  </si>
  <si>
    <r>
      <t xml:space="preserve">off
</t>
    </r>
    <r>
      <rPr>
        <i/>
        <sz val="11"/>
        <color theme="1"/>
        <rFont val="Aptos Narrow"/>
        <family val="2"/>
        <scheme val="minor"/>
      </rPr>
      <t>l</t>
    </r>
  </si>
  <si>
    <r>
      <t xml:space="preserve">ina
</t>
    </r>
    <r>
      <rPr>
        <i/>
        <sz val="11"/>
        <color theme="1"/>
        <rFont val="Aptos Narrow"/>
        <family val="2"/>
        <scheme val="minor"/>
      </rPr>
      <t>s</t>
    </r>
  </si>
  <si>
    <r>
      <t xml:space="preserve">rpy
</t>
    </r>
    <r>
      <rPr>
        <i/>
        <sz val="11"/>
        <color theme="1"/>
        <rFont val="Aptos Narrow"/>
        <family val="2"/>
        <scheme val="minor"/>
      </rPr>
      <t>r</t>
    </r>
  </si>
  <si>
    <r>
      <t xml:space="preserve">inc
</t>
    </r>
    <r>
      <rPr>
        <i/>
        <sz val="11"/>
        <color theme="1"/>
        <rFont val="Aptos Narrow"/>
        <family val="2"/>
        <scheme val="minor"/>
      </rPr>
      <t>r</t>
    </r>
  </si>
  <si>
    <r>
      <t xml:space="preserve">rpu
</t>
    </r>
    <r>
      <rPr>
        <i/>
        <sz val="11"/>
        <color theme="1"/>
        <rFont val="Aptos Narrow"/>
        <family val="2"/>
        <scheme val="minor"/>
      </rPr>
      <t>l</t>
    </r>
  </si>
  <si>
    <r>
      <t xml:space="preserve">ing
</t>
    </r>
    <r>
      <rPr>
        <i/>
        <sz val="11"/>
        <color theme="1"/>
        <rFont val="Aptos Narrow"/>
        <family val="2"/>
        <scheme val="minor"/>
      </rPr>
      <t>r</t>
    </r>
  </si>
  <si>
    <r>
      <t xml:space="preserve">int
</t>
    </r>
    <r>
      <rPr>
        <i/>
        <sz val="11"/>
        <color theme="1"/>
        <rFont val="Aptos Narrow"/>
        <family val="2"/>
        <scheme val="minor"/>
      </rPr>
      <t>l</t>
    </r>
  </si>
  <si>
    <r>
      <t xml:space="preserve">lpy
</t>
    </r>
    <r>
      <rPr>
        <i/>
        <sz val="11"/>
        <color theme="1"/>
        <rFont val="Aptos Narrow"/>
        <family val="2"/>
        <scheme val="minor"/>
      </rPr>
      <t>l</t>
    </r>
  </si>
  <si>
    <r>
      <t xml:space="preserve">lpu
</t>
    </r>
    <r>
      <rPr>
        <i/>
        <sz val="11"/>
        <color theme="1"/>
        <rFont val="Aptos Narrow"/>
        <family val="2"/>
        <scheme val="minor"/>
      </rPr>
      <t>l</t>
    </r>
  </si>
  <si>
    <t>Binding-preferences for typoenzymes</t>
  </si>
  <si>
    <t>First Segment</t>
  </si>
  <si>
    <t>Last Segment</t>
  </si>
  <si>
    <t>Binding Letter</t>
  </si>
  <si>
    <t>→</t>
  </si>
  <si>
    <t>↑</t>
  </si>
  <si>
    <t>↓</t>
  </si>
  <si>
    <t>Enzymes</t>
  </si>
  <si>
    <t>GGGG</t>
  </si>
  <si>
    <t>ATTACCA</t>
  </si>
  <si>
    <t>CATCATCATCAT</t>
  </si>
  <si>
    <t>TAGATCCAGTCCACATCGA</t>
  </si>
  <si>
    <t>TA-GA-TC-CA-GT-CC-AC-AT-CG-A</t>
  </si>
  <si>
    <t>rpy-ina-rpu-mvr-int-mvl-cut-swi-cop</t>
  </si>
  <si>
    <t>CG-GA-TA-CT-AA-AC-CG-A</t>
  </si>
  <si>
    <t>cop-ina-rpy-off</t>
  </si>
  <si>
    <t>cut-cop</t>
  </si>
  <si>
    <t>2 genes!</t>
  </si>
  <si>
    <t>= 2 enzymes</t>
  </si>
  <si>
    <t>De vertaling van een 'strand' naar een 'enzyme': dat doet een ribosoom</t>
  </si>
  <si>
    <t>Gene = that portion of a strand which codes for a single enzyme</t>
  </si>
  <si>
    <t>Self-replicating strand?</t>
  </si>
  <si>
    <t>Primary structure enzyme:</t>
  </si>
  <si>
    <t>Tertiary structure enzyme:</t>
  </si>
  <si>
    <t>rpu-inc-cop-mvr-mvl-swi-lpu-int</t>
  </si>
  <si>
    <t xml:space="preserve">https://en.wikipedia.org/wiki/Church%E2%80%93Turing_thesis </t>
  </si>
  <si>
    <t xml:space="preserve">https://en.wikipedia.org/wiki/Alonzo_Church </t>
  </si>
  <si>
    <t xml:space="preserve">https://en.wikipedia.org/wiki/Alan_Turing </t>
  </si>
  <si>
    <t xml:space="preserve">https://en.wikipedia.org/wiki/Church's_thesis_(constructive_mathematics) </t>
  </si>
  <si>
    <t xml:space="preserve">https://en.wikipedia.org/wiki/Alfred_Tarski </t>
  </si>
  <si>
    <t xml:space="preserve">https://en.wikipedia.org/wiki/John_Lucas_(philosopher) </t>
  </si>
  <si>
    <t>Chapter XVII: Church, Turing, Tarski, and Others</t>
  </si>
  <si>
    <t xml:space="preserve">https://en.wikipedia.org/wiki/SHRDLU </t>
  </si>
  <si>
    <t>Chapter XVIII: Artificial Intelligence: Retrospects</t>
  </si>
  <si>
    <t xml:space="preserve">https://en.wikipedia.org/wiki/Etaoin_shrdlu </t>
  </si>
  <si>
    <t>Gödel, Escher, Bach: An Eternal Golden Braid (1979) by Douglas Hofstadter</t>
  </si>
  <si>
    <t>De linkerpagina toont een historische Arabische tekst in een elegant, handgeschreven manuscript-stijl (kalligrafie). De tekst is opgedeeld in twee duidelijke secties.</t>
  </si>
  <si>
    <t>Hieronder vindt u de Nederlandse vertaling van de belangrijkste passages op deze pagina:</t>
  </si>
  <si>
    <t>Bovenste gedeelte: Over spijswetten en manieren (Adab)</t>
  </si>
  <si>
    <t>Deze tekst bespreekt traditionele islamitische etiquette en voorschriften met betrekking tot eten en sociaal gedrag:</t>
  </si>
  <si>
    <t>De aard van voedsel: Er wordt gesproken over de voorkeur voor bepaalde soorten voedsel, zoals "vetvrij vlees" (العجف) en de bereiding daarvan.</t>
  </si>
  <si>
    <t>Sociaal gedrag: De tekst benadrukt het belang van "vriendelijkheid en instemming" bij het delen van een maaltijd. Het spoort aan om "de mening van anderen te respecteren" en geen afkeer te tonen van wat wordt aangeboden.</t>
  </si>
  <si>
    <t>Vrijgevigheid: Er wordt uitgelegd dat "vrijgevigheid en het voeden van anderen" (إطعام الطعام) tot de edelste morele eigenschappen behoren. Het delen van voedsel met reizigers en behoeftigen wordt geprezen.</t>
  </si>
  <si>
    <t>Onderste gedeelte: De biografie van Mu'adh ibn Jabal (معاذ بن جبل)</t>
  </si>
  <si>
    <t>Dit gedeelte begint na het cirkelvormige symbool in het midden en beschrijft het leven van een van de belangrijkste metgezellen (Sahaba) van de profeet Mohammed:</t>
  </si>
  <si>
    <t>Introductie: De tekst vermeldt: "Er is overgeleverd over Mu'adh ibn Jabal..." Er wordt beschreven dat hij een man was met een nobel karakter, die bekendstond om zijn diepe loyaliteit en toewijding.</t>
  </si>
  <si>
    <t>Kennis van de religie: De auteur citeert de bekende uitspraak van de profeet Mohammed: "De meest wetende van mijn gemeenschap (Ummah) over het toegestane (Halal) en het verbodene (Haram) is Mu'adh ibn Jabal."</t>
  </si>
  <si>
    <t>Uiterlijk en status: Hij wordt omschreven als een jonge, knappe man met donkere ogen en een stralend gezicht. Hij was geliefd onder de mensen en werd door de Profeet naar Jemen gestuurd als rechter en leraar om de islam te onderwijzen.</t>
  </si>
  <si>
    <t>Zijn overlijden: De tekst sluit af met een vermelding van zijn vroege overlijden. Hij stierf op jonge leeftijd (rond de 33 of 38 jaar) in de regio van de Levant (Sham) tijdens de bekende plaag van Amwas.</t>
  </si>
  <si>
    <t>blz 624:</t>
  </si>
  <si>
    <t>De Arabische tekst zelf is een samengestelde tekst (een bloemlezing of compendium). De fragmenten zijn inhoudelijk afkomstig uit twee bekende genres binnen de klassieke Arabische literatuur:</t>
  </si>
  <si>
    <t>1. Het biografische gedeelte (Mu'adh ibn Jabal)</t>
  </si>
  <si>
    <t>Siyar A'lam al-Nubala (سير أعلام النبلاء) geschreven door de historicus Al-Dhahabi. Dit is het meest gebruikte standaardwerk voor gedetailleerde, verhalende biografieën van metgezellen met precies dit soort beschrijvingen over hun uiterlijk en vroege dood.</t>
  </si>
  <si>
    <t>Kitab al-Tabaqat al-Kubra (الطبقات الكبرى) van Ibn Sa'd, een van de alleroudste biografische bronnen over de Sahaba. [1]</t>
  </si>
  <si>
    <t>2. Het gedeelte over etiquette en spijzen</t>
  </si>
  <si>
    <t>Adab al-Dunya wa-l-Din (أدب الدنيا والدين) van Al-Mawardi.</t>
  </si>
  <si>
    <t>Ihya Ulum al-Din (إحياء علوم الدين) van Al-Ghazali (specifiek het hoofdstuk Kitab Adab al-Akl, het boek over de manieren van eten).</t>
  </si>
  <si>
    <t xml:space="preserve">De tekst over Mu'adh ibn Jabal (met daarin de overlevering "De meest wetende van mijn gemeenschap over het toegestane en het verbodene is Mu'adh...") is inhoudelijk direct overgenomen uit de klassieke Tabaqat- of Siyar-literatuur (biografische encyclopedieën van de vroege islam). </t>
  </si>
  <si>
    <t>Grote historische kanshebbers waar deze exacte tekstpassages traditioneel in staan zijn: [1]</t>
  </si>
  <si>
    <t xml:space="preserve">De bovenste tekst, die ingaat op de etiquette van het eten (zoals het niet afkeuren van wat je wordt aangeboden, het concept van "vetvrij vlees" en manieren aan tafel), behoort tot de zogenaamde Adab-literatuur (boeken over islamitische omgangsvormen, ethiek en cultuur). </t>
  </si>
  <si>
    <t>Klassieke boeken die dit type teksten bundelen zijn bijvoorbeeld:</t>
  </si>
  <si>
    <t xml:space="preserve">Samengevat: </t>
  </si>
  <si>
    <t>De getoonde pagina is zeer waarschijnlijk een facsimile (reproductie) in een modern wetenschappelijk boek over islamitische cultuurgeschiedenis, waarop een uniek, handgeschreven manuscript is afgebeeld dat klassieke ethische (Adab) en biografische (Siyar) teksten uit de gouden eeuwen van de islam samenbrengt.</t>
  </si>
  <si>
    <t xml:space="preserve">https://www.foundalis.com/res/bps/bpidx.htm </t>
  </si>
  <si>
    <t>Chapter XIX: Artificial Intelligence: Prospects</t>
  </si>
  <si>
    <t>Bongard-problems:</t>
  </si>
  <si>
    <t xml:space="preserve">https://matthodges.com/posts/2026-08-19-bongard-problems/ </t>
  </si>
  <si>
    <t xml:space="preserve">https://en.wikipedia.org/wiki/Bongard_problem </t>
  </si>
  <si>
    <t xml:space="preserve">https://escherinhetpaleis.nl/en/about-escher/masterpieces/print-gallery </t>
  </si>
  <si>
    <t xml:space="preserve">https://en.wikipedia.org/wiki/Shepard_tone </t>
  </si>
  <si>
    <t xml:space="preserve">https://www.youtube.com/watch?v=PCs1lckF5vI </t>
  </si>
  <si>
    <t>https://sites.google.com/site/pp2007pt/music?pli=1&amp;authuser=0</t>
  </si>
  <si>
    <t xml:space="preserve"> </t>
  </si>
  <si>
    <t xml:space="preserve">https://codepen.io/yukulele/pen/PPgxbG </t>
  </si>
  <si>
    <t>Shepard 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</si>
</sst>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000"/>
    <numFmt numFmtId="165" formatCode="0.000000000000000"/>
  </numFmts>
  <fonts count="9"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FF0000"/>
      <name val="Aptos Narrow"/>
      <family val="2"/>
      <scheme val="minor"/>
    </font>
    <font>
      <sz val="11"/>
      <color theme="1"/>
      <name val="Aptos Narrow"/>
      <family val="2"/>
    </font>
    <font>
      <sz val="8"/>
      <name val="Aptos Narrow"/>
      <family val="2"/>
      <scheme val="minor"/>
    </font>
    <font>
      <u/>
      <sz val="11"/>
      <color theme="10"/>
      <name val="Aptos Narrow"/>
      <family val="2"/>
      <scheme val="minor"/>
    </font>
    <font>
      <b/>
      <sz val="11"/>
      <color theme="1"/>
      <name val="Aptos Narrow"/>
      <family val="2"/>
    </font>
    <font>
      <i/>
      <sz val="11"/>
      <color theme="1"/>
      <name val="Aptos Narrow"/>
      <family val="2"/>
    </font>
  </fonts>
  <fills count="2">
    <fill>
      <patternFill patternType="none"/>
    </fill>
    <fill>
      <patternFill patternType="gray125"/>
    </fill>
  </fills>
  <borders count="4">
    <border>
      <left/>
      <right/>
      <top/>
      <bottom/>
      <diagonal/>
    </border>
    <border>
      <left/>
      <right/>
      <top style="thin">
        <color auto="1"/>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0" fillId="0" borderId="0" xfId="0" applyAlignment="1">
      <alignment horizontal="right"/>
    </xf>
    <xf numFmtId="0" fontId="1" fillId="0" borderId="0" xfId="0" applyFont="1"/>
    <xf numFmtId="0" fontId="0" fillId="0" borderId="0" xfId="0" quotePrefix="1"/>
    <xf numFmtId="0" fontId="3" fillId="0" borderId="0" xfId="0" applyFont="1"/>
    <xf numFmtId="0" fontId="2" fillId="0" borderId="0" xfId="0" applyFont="1"/>
    <xf numFmtId="0" fontId="4" fillId="0" borderId="0" xfId="0" applyFont="1"/>
    <xf numFmtId="0" fontId="0" fillId="0" borderId="0" xfId="0" quotePrefix="1" applyAlignment="1">
      <alignment horizontal="center"/>
    </xf>
    <xf numFmtId="0" fontId="0" fillId="0" borderId="0" xfId="0" applyAlignment="1">
      <alignment horizontal="center"/>
    </xf>
    <xf numFmtId="0" fontId="0" fillId="0" borderId="0" xfId="0" applyAlignment="1">
      <alignment horizontal="left"/>
    </xf>
    <xf numFmtId="0" fontId="0" fillId="0" borderId="1" xfId="0" applyBorder="1"/>
    <xf numFmtId="0" fontId="6" fillId="0" borderId="0" xfId="1"/>
    <xf numFmtId="0" fontId="3" fillId="0" borderId="0" xfId="0" applyFont="1" applyAlignment="1">
      <alignment horizontal="center"/>
    </xf>
    <xf numFmtId="164" fontId="0" fillId="0" borderId="0" xfId="0" applyNumberFormat="1"/>
    <xf numFmtId="165" fontId="0" fillId="0" borderId="0" xfId="0" applyNumberFormat="1"/>
    <xf numFmtId="164" fontId="1" fillId="0" borderId="0" xfId="0" applyNumberFormat="1" applyFont="1"/>
    <xf numFmtId="0" fontId="1" fillId="0" borderId="0" xfId="0" quotePrefix="1" applyFont="1"/>
    <xf numFmtId="0" fontId="0" fillId="0" borderId="2" xfId="0" applyBorder="1"/>
    <xf numFmtId="0" fontId="0" fillId="0" borderId="2" xfId="0" applyBorder="1" applyAlignment="1">
      <alignment wrapText="1"/>
    </xf>
    <xf numFmtId="0" fontId="0" fillId="0" borderId="3" xfId="0" applyBorder="1"/>
    <xf numFmtId="0" fontId="4" fillId="0" borderId="0" xfId="0" applyFont="1" applyAlignment="1">
      <alignment horizontal="center"/>
    </xf>
    <xf numFmtId="0" fontId="4" fillId="0" borderId="0" xfId="0" applyFont="1" applyAlignment="1">
      <alignment horizontal="center" textRotation="90"/>
    </xf>
    <xf numFmtId="0" fontId="4" fillId="0" borderId="0" xfId="0" applyFont="1" applyAlignment="1">
      <alignment horizontal="left"/>
    </xf>
    <xf numFmtId="0" fontId="0" fillId="0" borderId="2" xfId="0" applyBorder="1" applyAlignment="1">
      <alignment horizontal="center"/>
    </xf>
    <xf numFmtId="0" fontId="4" fillId="0" borderId="2" xfId="0" applyFont="1" applyBorder="1" applyAlignment="1">
      <alignment horizontal="center"/>
    </xf>
    <xf numFmtId="0" fontId="4" fillId="0" borderId="2" xfId="0" applyFont="1" applyBorder="1" applyAlignment="1">
      <alignment horizontal="center" textRotation="90"/>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Q-function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trendline>
            <c:spPr>
              <a:ln w="19050" cap="rnd">
                <a:solidFill>
                  <a:schemeClr val="accent1"/>
                </a:solidFill>
                <a:prstDash val="sysDot"/>
              </a:ln>
              <a:effectLst/>
            </c:spPr>
            <c:trendlineType val="linear"/>
            <c:dispRSqr val="1"/>
            <c:dispEq val="1"/>
            <c:trendlineLbl>
              <c:layout>
                <c:manualLayout>
                  <c:x val="7.2580486791669022E-2"/>
                  <c:y val="0.190267789743630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trendlineLbl>
          </c:trendline>
          <c:xVal>
            <c:numRef>
              <c:f>recursie!$B$3:$B$20</c:f>
              <c:numCache>
                <c:formatCode>General</c:formatCod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numCache>
            </c:numRef>
          </c:xVal>
          <c:yVal>
            <c:numRef>
              <c:f>recursie!$C$3:$C$20</c:f>
              <c:numCache>
                <c:formatCode>General</c:formatCode>
                <c:ptCount val="18"/>
                <c:pt idx="0">
                  <c:v>1</c:v>
                </c:pt>
                <c:pt idx="1">
                  <c:v>1</c:v>
                </c:pt>
                <c:pt idx="2">
                  <c:v>2</c:v>
                </c:pt>
                <c:pt idx="3">
                  <c:v>3</c:v>
                </c:pt>
                <c:pt idx="4">
                  <c:v>3</c:v>
                </c:pt>
                <c:pt idx="5">
                  <c:v>4</c:v>
                </c:pt>
                <c:pt idx="6">
                  <c:v>5</c:v>
                </c:pt>
                <c:pt idx="7">
                  <c:v>5</c:v>
                </c:pt>
                <c:pt idx="8">
                  <c:v>6</c:v>
                </c:pt>
                <c:pt idx="9">
                  <c:v>6</c:v>
                </c:pt>
                <c:pt idx="10">
                  <c:v>6</c:v>
                </c:pt>
                <c:pt idx="11">
                  <c:v>8</c:v>
                </c:pt>
                <c:pt idx="12">
                  <c:v>8</c:v>
                </c:pt>
                <c:pt idx="13">
                  <c:v>8</c:v>
                </c:pt>
                <c:pt idx="14">
                  <c:v>10</c:v>
                </c:pt>
                <c:pt idx="15">
                  <c:v>9</c:v>
                </c:pt>
                <c:pt idx="16">
                  <c:v>10</c:v>
                </c:pt>
                <c:pt idx="17">
                  <c:v>11</c:v>
                </c:pt>
              </c:numCache>
            </c:numRef>
          </c:yVal>
          <c:smooth val="0"/>
          <c:extLst>
            <c:ext xmlns:c16="http://schemas.microsoft.com/office/drawing/2014/chart" uri="{C3380CC4-5D6E-409C-BE32-E72D297353CC}">
              <c16:uniqueId val="{00000000-A7B0-4F9F-BBCD-010A5670960F}"/>
            </c:ext>
          </c:extLst>
        </c:ser>
        <c:dLbls>
          <c:showLegendKey val="0"/>
          <c:showVal val="0"/>
          <c:showCatName val="0"/>
          <c:showSerName val="0"/>
          <c:showPercent val="0"/>
          <c:showBubbleSize val="0"/>
        </c:dLbls>
        <c:axId val="896192784"/>
        <c:axId val="1240129008"/>
      </c:scatterChart>
      <c:valAx>
        <c:axId val="896192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1240129008"/>
        <c:crosses val="autoZero"/>
        <c:crossBetween val="midCat"/>
      </c:valAx>
      <c:valAx>
        <c:axId val="124012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8961927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t>F</a:t>
            </a:r>
            <a:r>
              <a:rPr lang="nl-NL" baseline="0"/>
              <a:t> &amp; M</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l-NL"/>
        </a:p>
      </c:txPr>
    </c:title>
    <c:autoTitleDeleted val="0"/>
    <c:plotArea>
      <c:layout/>
      <c:lineChart>
        <c:grouping val="standard"/>
        <c:varyColors val="0"/>
        <c:ser>
          <c:idx val="0"/>
          <c:order val="0"/>
          <c:tx>
            <c:strRef>
              <c:f>recursie!$C$28</c:f>
              <c:strCache>
                <c:ptCount val="1"/>
                <c:pt idx="0">
                  <c:v>F</c:v>
                </c:pt>
              </c:strCache>
            </c:strRef>
          </c:tx>
          <c:spPr>
            <a:ln w="28575" cap="rnd">
              <a:solidFill>
                <a:schemeClr val="accent1"/>
              </a:solidFill>
              <a:round/>
            </a:ln>
            <a:effectLst/>
          </c:spPr>
          <c:marker>
            <c:symbol val="none"/>
          </c:marker>
          <c:cat>
            <c:numRef>
              <c:f>recursie!$B$29:$B$39</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recursie!$C$29:$C$39</c:f>
              <c:numCache>
                <c:formatCode>General</c:formatCode>
                <c:ptCount val="11"/>
                <c:pt idx="0">
                  <c:v>1</c:v>
                </c:pt>
                <c:pt idx="1">
                  <c:v>1</c:v>
                </c:pt>
                <c:pt idx="2">
                  <c:v>2</c:v>
                </c:pt>
                <c:pt idx="3">
                  <c:v>2</c:v>
                </c:pt>
                <c:pt idx="4">
                  <c:v>3</c:v>
                </c:pt>
                <c:pt idx="5">
                  <c:v>3</c:v>
                </c:pt>
                <c:pt idx="6">
                  <c:v>4</c:v>
                </c:pt>
                <c:pt idx="7">
                  <c:v>4</c:v>
                </c:pt>
                <c:pt idx="8">
                  <c:v>5</c:v>
                </c:pt>
                <c:pt idx="9">
                  <c:v>5</c:v>
                </c:pt>
                <c:pt idx="10">
                  <c:v>6</c:v>
                </c:pt>
              </c:numCache>
            </c:numRef>
          </c:val>
          <c:smooth val="0"/>
          <c:extLst>
            <c:ext xmlns:c16="http://schemas.microsoft.com/office/drawing/2014/chart" uri="{C3380CC4-5D6E-409C-BE32-E72D297353CC}">
              <c16:uniqueId val="{00000000-DDD8-47C8-9370-62AB29F208F4}"/>
            </c:ext>
          </c:extLst>
        </c:ser>
        <c:ser>
          <c:idx val="1"/>
          <c:order val="1"/>
          <c:tx>
            <c:strRef>
              <c:f>recursie!$D$28</c:f>
              <c:strCache>
                <c:ptCount val="1"/>
                <c:pt idx="0">
                  <c:v>M</c:v>
                </c:pt>
              </c:strCache>
            </c:strRef>
          </c:tx>
          <c:spPr>
            <a:ln w="28575" cap="rnd">
              <a:solidFill>
                <a:schemeClr val="accent2"/>
              </a:solidFill>
              <a:round/>
            </a:ln>
            <a:effectLst/>
          </c:spPr>
          <c:marker>
            <c:symbol val="none"/>
          </c:marker>
          <c:cat>
            <c:numRef>
              <c:f>recursie!$B$29:$B$39</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recursie!$D$29:$D$39</c:f>
              <c:numCache>
                <c:formatCode>General</c:formatCode>
                <c:ptCount val="11"/>
                <c:pt idx="0">
                  <c:v>0</c:v>
                </c:pt>
                <c:pt idx="1">
                  <c:v>0</c:v>
                </c:pt>
                <c:pt idx="2">
                  <c:v>1</c:v>
                </c:pt>
                <c:pt idx="3">
                  <c:v>1</c:v>
                </c:pt>
                <c:pt idx="4">
                  <c:v>2</c:v>
                </c:pt>
                <c:pt idx="5">
                  <c:v>2</c:v>
                </c:pt>
                <c:pt idx="6">
                  <c:v>3</c:v>
                </c:pt>
                <c:pt idx="7">
                  <c:v>3</c:v>
                </c:pt>
                <c:pt idx="8">
                  <c:v>4</c:v>
                </c:pt>
                <c:pt idx="9">
                  <c:v>4</c:v>
                </c:pt>
                <c:pt idx="10">
                  <c:v>5</c:v>
                </c:pt>
              </c:numCache>
            </c:numRef>
          </c:val>
          <c:smooth val="0"/>
          <c:extLst>
            <c:ext xmlns:c16="http://schemas.microsoft.com/office/drawing/2014/chart" uri="{C3380CC4-5D6E-409C-BE32-E72D297353CC}">
              <c16:uniqueId val="{00000001-DDD8-47C8-9370-62AB29F208F4}"/>
            </c:ext>
          </c:extLst>
        </c:ser>
        <c:dLbls>
          <c:showLegendKey val="0"/>
          <c:showVal val="0"/>
          <c:showCatName val="0"/>
          <c:showSerName val="0"/>
          <c:showPercent val="0"/>
          <c:showBubbleSize val="0"/>
        </c:dLbls>
        <c:smooth val="0"/>
        <c:axId val="2022637823"/>
        <c:axId val="2021719343"/>
      </c:lineChart>
      <c:catAx>
        <c:axId val="202263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21719343"/>
        <c:crosses val="autoZero"/>
        <c:auto val="1"/>
        <c:lblAlgn val="ctr"/>
        <c:lblOffset val="100"/>
        <c:noMultiLvlLbl val="0"/>
      </c:catAx>
      <c:valAx>
        <c:axId val="202171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crossAx val="2022637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l-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cid:7c49f59b-d775-41e0-8d04-c59bd057d111@eurprd08.prod.outlook.com" TargetMode="External"/><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11</xdr:col>
      <xdr:colOff>152400</xdr:colOff>
      <xdr:row>1</xdr:row>
      <xdr:rowOff>71437</xdr:rowOff>
    </xdr:from>
    <xdr:to>
      <xdr:col>19</xdr:col>
      <xdr:colOff>571500</xdr:colOff>
      <xdr:row>19</xdr:row>
      <xdr:rowOff>123825</xdr:rowOff>
    </xdr:to>
    <xdr:graphicFrame macro="">
      <xdr:nvGraphicFramePr>
        <xdr:cNvPr id="2" name="Chart 1">
          <a:extLst>
            <a:ext uri="{FF2B5EF4-FFF2-40B4-BE49-F238E27FC236}">
              <a16:creationId xmlns:a16="http://schemas.microsoft.com/office/drawing/2014/main" id="{C8D63BAF-6DC6-5CFD-F998-F6140F4E5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209550</xdr:colOff>
      <xdr:row>26</xdr:row>
      <xdr:rowOff>33337</xdr:rowOff>
    </xdr:from>
    <xdr:to>
      <xdr:col>18</xdr:col>
      <xdr:colOff>514350</xdr:colOff>
      <xdr:row>40</xdr:row>
      <xdr:rowOff>109537</xdr:rowOff>
    </xdr:to>
    <xdr:graphicFrame macro="">
      <xdr:nvGraphicFramePr>
        <xdr:cNvPr id="3" name="Chart 2">
          <a:extLst>
            <a:ext uri="{FF2B5EF4-FFF2-40B4-BE49-F238E27FC236}">
              <a16:creationId xmlns:a16="http://schemas.microsoft.com/office/drawing/2014/main" id="{7821B1A9-F551-783E-098A-23A287283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xdr:colOff>
      <xdr:row>10</xdr:row>
      <xdr:rowOff>28575</xdr:rowOff>
    </xdr:from>
    <xdr:to>
      <xdr:col>11</xdr:col>
      <xdr:colOff>134259</xdr:colOff>
      <xdr:row>13</xdr:row>
      <xdr:rowOff>133444</xdr:rowOff>
    </xdr:to>
    <xdr:pic>
      <xdr:nvPicPr>
        <xdr:cNvPr id="2" name="Picture 1">
          <a:extLst>
            <a:ext uri="{FF2B5EF4-FFF2-40B4-BE49-F238E27FC236}">
              <a16:creationId xmlns:a16="http://schemas.microsoft.com/office/drawing/2014/main" id="{80A502FE-1C02-664D-5192-E2BBCE4AD4E4}"/>
            </a:ext>
          </a:extLst>
        </xdr:cNvPr>
        <xdr:cNvPicPr>
          <a:picLocks noChangeAspect="1"/>
        </xdr:cNvPicPr>
      </xdr:nvPicPr>
      <xdr:blipFill>
        <a:blip xmlns:r="http://schemas.openxmlformats.org/officeDocument/2006/relationships" r:embed="rId1"/>
        <a:stretch>
          <a:fillRect/>
        </a:stretch>
      </xdr:blipFill>
      <xdr:spPr>
        <a:xfrm>
          <a:off x="2562225" y="1933575"/>
          <a:ext cx="6516009" cy="6763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85725</xdr:colOff>
      <xdr:row>12</xdr:row>
      <xdr:rowOff>66675</xdr:rowOff>
    </xdr:from>
    <xdr:to>
      <xdr:col>11</xdr:col>
      <xdr:colOff>162834</xdr:colOff>
      <xdr:row>15</xdr:row>
      <xdr:rowOff>171544</xdr:rowOff>
    </xdr:to>
    <xdr:pic>
      <xdr:nvPicPr>
        <xdr:cNvPr id="2" name="Picture 1">
          <a:extLst>
            <a:ext uri="{FF2B5EF4-FFF2-40B4-BE49-F238E27FC236}">
              <a16:creationId xmlns:a16="http://schemas.microsoft.com/office/drawing/2014/main" id="{81DF12A1-3EA4-457D-9796-099E2909526A}"/>
            </a:ext>
          </a:extLst>
        </xdr:cNvPr>
        <xdr:cNvPicPr>
          <a:picLocks noChangeAspect="1"/>
        </xdr:cNvPicPr>
      </xdr:nvPicPr>
      <xdr:blipFill>
        <a:blip xmlns:r="http://schemas.openxmlformats.org/officeDocument/2006/relationships" r:embed="rId1"/>
        <a:stretch>
          <a:fillRect/>
        </a:stretch>
      </xdr:blipFill>
      <xdr:spPr>
        <a:xfrm>
          <a:off x="2800350" y="2352675"/>
          <a:ext cx="6516009" cy="6763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85725</xdr:colOff>
      <xdr:row>17</xdr:row>
      <xdr:rowOff>66675</xdr:rowOff>
    </xdr:from>
    <xdr:to>
      <xdr:col>24</xdr:col>
      <xdr:colOff>115209</xdr:colOff>
      <xdr:row>20</xdr:row>
      <xdr:rowOff>171544</xdr:rowOff>
    </xdr:to>
    <xdr:pic>
      <xdr:nvPicPr>
        <xdr:cNvPr id="2" name="Picture 1">
          <a:extLst>
            <a:ext uri="{FF2B5EF4-FFF2-40B4-BE49-F238E27FC236}">
              <a16:creationId xmlns:a16="http://schemas.microsoft.com/office/drawing/2014/main" id="{E0ACC2D9-FD02-4C21-AC49-D37B8E282E41}"/>
            </a:ext>
          </a:extLst>
        </xdr:cNvPr>
        <xdr:cNvPicPr>
          <a:picLocks noChangeAspect="1"/>
        </xdr:cNvPicPr>
      </xdr:nvPicPr>
      <xdr:blipFill>
        <a:blip xmlns:r="http://schemas.openxmlformats.org/officeDocument/2006/relationships" r:embed="rId1"/>
        <a:stretch>
          <a:fillRect/>
        </a:stretch>
      </xdr:blipFill>
      <xdr:spPr>
        <a:xfrm>
          <a:off x="4943475" y="2352675"/>
          <a:ext cx="6516009" cy="6763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4</xdr:col>
      <xdr:colOff>552450</xdr:colOff>
      <xdr:row>21</xdr:row>
      <xdr:rowOff>142875</xdr:rowOff>
    </xdr:to>
    <xdr:pic>
      <xdr:nvPicPr>
        <xdr:cNvPr id="2" name="Picture 1">
          <a:extLst>
            <a:ext uri="{FF2B5EF4-FFF2-40B4-BE49-F238E27FC236}">
              <a16:creationId xmlns:a16="http://schemas.microsoft.com/office/drawing/2014/main" id="{8C43C5F0-421B-67F3-C540-409C0C1469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71500"/>
          <a:ext cx="2381250"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14</xdr:col>
      <xdr:colOff>153357</xdr:colOff>
      <xdr:row>30</xdr:row>
      <xdr:rowOff>19691</xdr:rowOff>
    </xdr:to>
    <xdr:pic>
      <xdr:nvPicPr>
        <xdr:cNvPr id="2" name="Picture 1">
          <a:extLst>
            <a:ext uri="{FF2B5EF4-FFF2-40B4-BE49-F238E27FC236}">
              <a16:creationId xmlns:a16="http://schemas.microsoft.com/office/drawing/2014/main" id="{59C3CC18-2C27-596E-640F-ABF968AD3AF3}"/>
            </a:ext>
          </a:extLst>
        </xdr:cNvPr>
        <xdr:cNvPicPr>
          <a:picLocks noChangeAspect="1"/>
        </xdr:cNvPicPr>
      </xdr:nvPicPr>
      <xdr:blipFill>
        <a:blip xmlns:r="http://schemas.openxmlformats.org/officeDocument/2006/relationships" r:embed="rId1"/>
        <a:stretch>
          <a:fillRect/>
        </a:stretch>
      </xdr:blipFill>
      <xdr:spPr>
        <a:xfrm>
          <a:off x="2543175" y="1143000"/>
          <a:ext cx="6858957" cy="45916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76200</xdr:colOff>
      <xdr:row>4</xdr:row>
      <xdr:rowOff>57150</xdr:rowOff>
    </xdr:from>
    <xdr:to>
      <xdr:col>12</xdr:col>
      <xdr:colOff>124782</xdr:colOff>
      <xdr:row>28</xdr:row>
      <xdr:rowOff>76841</xdr:rowOff>
    </xdr:to>
    <xdr:pic>
      <xdr:nvPicPr>
        <xdr:cNvPr id="2" name="Picture 1">
          <a:extLst>
            <a:ext uri="{FF2B5EF4-FFF2-40B4-BE49-F238E27FC236}">
              <a16:creationId xmlns:a16="http://schemas.microsoft.com/office/drawing/2014/main" id="{68284B7B-E29B-4091-BD61-2760D9A9FFDA}"/>
            </a:ext>
          </a:extLst>
        </xdr:cNvPr>
        <xdr:cNvPicPr>
          <a:picLocks noChangeAspect="1"/>
        </xdr:cNvPicPr>
      </xdr:nvPicPr>
      <xdr:blipFill>
        <a:blip xmlns:r="http://schemas.openxmlformats.org/officeDocument/2006/relationships" r:embed="rId1"/>
        <a:stretch>
          <a:fillRect/>
        </a:stretch>
      </xdr:blipFill>
      <xdr:spPr>
        <a:xfrm>
          <a:off x="1295400" y="438150"/>
          <a:ext cx="6858957" cy="45916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52387</xdr:colOff>
      <xdr:row>10</xdr:row>
      <xdr:rowOff>19050</xdr:rowOff>
    </xdr:from>
    <xdr:to>
      <xdr:col>4</xdr:col>
      <xdr:colOff>609598</xdr:colOff>
      <xdr:row>26</xdr:row>
      <xdr:rowOff>152398</xdr:rowOff>
    </xdr:to>
    <xdr:pic>
      <xdr:nvPicPr>
        <xdr:cNvPr id="7" name="Picture 6">
          <a:extLst>
            <a:ext uri="{FF2B5EF4-FFF2-40B4-BE49-F238E27FC236}">
              <a16:creationId xmlns:a16="http://schemas.microsoft.com/office/drawing/2014/main" id="{A610A94D-9856-FE56-0E2B-97ED856914D4}"/>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1987" y="1543050"/>
          <a:ext cx="2386011" cy="318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129042</xdr:colOff>
      <xdr:row>1</xdr:row>
      <xdr:rowOff>114300</xdr:rowOff>
    </xdr:from>
    <xdr:to>
      <xdr:col>23</xdr:col>
      <xdr:colOff>304799</xdr:colOff>
      <xdr:row>40</xdr:row>
      <xdr:rowOff>57150</xdr:rowOff>
    </xdr:to>
    <xdr:pic>
      <xdr:nvPicPr>
        <xdr:cNvPr id="2" name="Picture 1" descr="Print Gallery | Museum Escher in The Palace">
          <a:extLst>
            <a:ext uri="{FF2B5EF4-FFF2-40B4-BE49-F238E27FC236}">
              <a16:creationId xmlns:a16="http://schemas.microsoft.com/office/drawing/2014/main" id="{CC2A2CBB-85CC-D188-8538-BD14815E44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4642" y="304800"/>
          <a:ext cx="7490957" cy="737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eb.archive.org/web/20160304043854/http:/miu.edlogic.co.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en.wikipedia.org/wiki/Goldbach%27s_conjecture"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5.bin"/><Relationship Id="rId1" Type="http://schemas.openxmlformats.org/officeDocument/2006/relationships/hyperlink" Target="https://en.wikipedia.org/wiki/Russell%27s_paradox"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s://en.wikipedia.org/wiki/Euclid%27s_theore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9.bin"/><Relationship Id="rId1" Type="http://schemas.openxmlformats.org/officeDocument/2006/relationships/hyperlink" Target="https://mitocw.ups.edu.ec/high-school/humanities-and-social-sciences/godel-escher-bach/index.htm"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hyperlink" Target="https://en.wikipedia.org/wiki/Jabberwocky"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2.bin"/><Relationship Id="rId1" Type="http://schemas.openxmlformats.org/officeDocument/2006/relationships/hyperlink" Target="https://colab.research.google.com/drive/1bqjDEKiEzFmGvMT9k-IimX6qgsiIvydS?usp=sharing"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en.wikipedia.org/wiki/DNA" TargetMode="External"/><Relationship Id="rId13" Type="http://schemas.openxmlformats.org/officeDocument/2006/relationships/hyperlink" Target="https://www.reddit.com/r/GEB/comments/wv40h/puzzles_for_ch_16_can_you_make_a_typogenetic/" TargetMode="External"/><Relationship Id="rId3" Type="http://schemas.openxmlformats.org/officeDocument/2006/relationships/hyperlink" Target="https://en.wikipedia.org/wiki/Adenine" TargetMode="External"/><Relationship Id="rId7" Type="http://schemas.openxmlformats.org/officeDocument/2006/relationships/hyperlink" Target="https://en.wikipedia.org/wiki/Amino_acid" TargetMode="External"/><Relationship Id="rId12" Type="http://schemas.openxmlformats.org/officeDocument/2006/relationships/hyperlink" Target="https://github.com/lechimp-p/Typogenetics" TargetMode="External"/><Relationship Id="rId2" Type="http://schemas.openxmlformats.org/officeDocument/2006/relationships/hyperlink" Target="https://en.wikipedia.org/wiki/Pyrimidine" TargetMode="External"/><Relationship Id="rId1" Type="http://schemas.openxmlformats.org/officeDocument/2006/relationships/hyperlink" Target="https://en.wikipedia.org/wiki/Purine" TargetMode="External"/><Relationship Id="rId6" Type="http://schemas.openxmlformats.org/officeDocument/2006/relationships/hyperlink" Target="https://en.wikipedia.org/wiki/Thymine" TargetMode="External"/><Relationship Id="rId11" Type="http://schemas.openxmlformats.org/officeDocument/2006/relationships/hyperlink" Target="https://dev.to/palm86/a-typogenetics-implementation-in-elixir-1jfg" TargetMode="External"/><Relationship Id="rId5" Type="http://schemas.openxmlformats.org/officeDocument/2006/relationships/hyperlink" Target="https://en.wikipedia.org/wiki/Guanine" TargetMode="External"/><Relationship Id="rId10" Type="http://schemas.openxmlformats.org/officeDocument/2006/relationships/hyperlink" Target="https://en.wikipedia.org/wiki/Nucleotide" TargetMode="External"/><Relationship Id="rId4" Type="http://schemas.openxmlformats.org/officeDocument/2006/relationships/hyperlink" Target="https://en.wikipedia.org/wiki/Cytosine" TargetMode="External"/><Relationship Id="rId9" Type="http://schemas.openxmlformats.org/officeDocument/2006/relationships/hyperlink" Target="https://en.wikipedia.org/wiki/RNA" TargetMode="External"/><Relationship Id="rId1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en.wikipedia.org/wiki/John_Lucas_(philosopher)" TargetMode="External"/><Relationship Id="rId13" Type="http://schemas.openxmlformats.org/officeDocument/2006/relationships/hyperlink" Target="https://en.wikipedia.org/wiki/Bongard_problem" TargetMode="External"/><Relationship Id="rId18" Type="http://schemas.openxmlformats.org/officeDocument/2006/relationships/hyperlink" Target="https://codepen.io/yukulele/pen/PPgxbG" TargetMode="External"/><Relationship Id="rId3" Type="http://schemas.openxmlformats.org/officeDocument/2006/relationships/hyperlink" Target="https://en.wikipedia.org/wiki/Church%E2%80%93Turing_thesis" TargetMode="External"/><Relationship Id="rId7" Type="http://schemas.openxmlformats.org/officeDocument/2006/relationships/hyperlink" Target="https://en.wikipedia.org/wiki/Alfred_Tarski" TargetMode="External"/><Relationship Id="rId12" Type="http://schemas.openxmlformats.org/officeDocument/2006/relationships/hyperlink" Target="https://matthodges.com/posts/2026-08-19-bongard-problems/" TargetMode="External"/><Relationship Id="rId17" Type="http://schemas.openxmlformats.org/officeDocument/2006/relationships/hyperlink" Target="https://sites.google.com/site/pp2007pt/music?pli=1&amp;authuser=0" TargetMode="External"/><Relationship Id="rId2" Type="http://schemas.openxmlformats.org/officeDocument/2006/relationships/hyperlink" Target="https://mitocw.ups.edu.ec/high-school/humanities-and-social-sciences/godel-escher-bach/index.htm" TargetMode="External"/><Relationship Id="rId16" Type="http://schemas.openxmlformats.org/officeDocument/2006/relationships/hyperlink" Target="https://www.youtube.com/watch?v=PCs1lckF5vI" TargetMode="External"/><Relationship Id="rId20" Type="http://schemas.openxmlformats.org/officeDocument/2006/relationships/drawing" Target="../drawings/drawing9.xml"/><Relationship Id="rId1" Type="http://schemas.openxmlformats.org/officeDocument/2006/relationships/hyperlink" Target="https://en.wikipedia.org/wiki/G%C3%B6del,_Escher,_Bach" TargetMode="External"/><Relationship Id="rId6" Type="http://schemas.openxmlformats.org/officeDocument/2006/relationships/hyperlink" Target="https://en.wikipedia.org/wiki/Church's_thesis_(constructive_mathematics)" TargetMode="External"/><Relationship Id="rId11" Type="http://schemas.openxmlformats.org/officeDocument/2006/relationships/hyperlink" Target="https://www.foundalis.com/res/bps/bpidx.htm" TargetMode="External"/><Relationship Id="rId5" Type="http://schemas.openxmlformats.org/officeDocument/2006/relationships/hyperlink" Target="https://en.wikipedia.org/wiki/Alan_Turing" TargetMode="External"/><Relationship Id="rId15" Type="http://schemas.openxmlformats.org/officeDocument/2006/relationships/hyperlink" Target="https://en.wikipedia.org/wiki/Shepard_tone" TargetMode="External"/><Relationship Id="rId10" Type="http://schemas.openxmlformats.org/officeDocument/2006/relationships/hyperlink" Target="https://en.wikipedia.org/wiki/Etaoin_shrdlu" TargetMode="External"/><Relationship Id="rId19" Type="http://schemas.openxmlformats.org/officeDocument/2006/relationships/printerSettings" Target="../printerSettings/printerSettings15.bin"/><Relationship Id="rId4" Type="http://schemas.openxmlformats.org/officeDocument/2006/relationships/hyperlink" Target="https://en.wikipedia.org/wiki/Alonzo_Church" TargetMode="External"/><Relationship Id="rId9" Type="http://schemas.openxmlformats.org/officeDocument/2006/relationships/hyperlink" Target="https://en.wikipedia.org/wiki/SHRDLU" TargetMode="External"/><Relationship Id="rId14" Type="http://schemas.openxmlformats.org/officeDocument/2006/relationships/hyperlink" Target="https://escherinhetpaleis.nl/en/about-escher/masterpieces/print-galle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5E83-3158-4687-9612-BC28B79B46D1}">
  <sheetPr>
    <pageSetUpPr fitToPage="1"/>
  </sheetPr>
  <dimension ref="A2:I34"/>
  <sheetViews>
    <sheetView tabSelected="1" workbookViewId="0"/>
  </sheetViews>
  <sheetFormatPr defaultRowHeight="15" x14ac:dyDescent="0.25"/>
  <cols>
    <col min="2" max="2" width="5.7109375" bestFit="1" customWidth="1"/>
    <col min="3" max="3" width="32.85546875" bestFit="1" customWidth="1"/>
    <col min="4" max="4" width="2.7109375" bestFit="1" customWidth="1"/>
    <col min="5" max="5" width="7" bestFit="1" customWidth="1"/>
    <col min="6" max="6" width="2.7109375" bestFit="1" customWidth="1"/>
    <col min="7" max="7" width="8.85546875" bestFit="1" customWidth="1"/>
    <col min="8" max="8" width="2.7109375" bestFit="1" customWidth="1"/>
    <col min="9" max="9" width="5.7109375" bestFit="1" customWidth="1"/>
  </cols>
  <sheetData>
    <row r="2" spans="1:3" x14ac:dyDescent="0.25">
      <c r="A2" s="1"/>
      <c r="C2" s="2" t="s">
        <v>132</v>
      </c>
    </row>
    <row r="3" spans="1:3" x14ac:dyDescent="0.25">
      <c r="A3" s="1"/>
      <c r="C3" t="s">
        <v>210</v>
      </c>
    </row>
    <row r="4" spans="1:3" x14ac:dyDescent="0.25">
      <c r="A4" s="1"/>
      <c r="C4" t="s">
        <v>211</v>
      </c>
    </row>
    <row r="5" spans="1:3" x14ac:dyDescent="0.25">
      <c r="A5" s="1"/>
      <c r="C5" t="s">
        <v>212</v>
      </c>
    </row>
    <row r="6" spans="1:3" x14ac:dyDescent="0.25">
      <c r="A6" s="1"/>
      <c r="C6" s="3"/>
    </row>
    <row r="7" spans="1:3" x14ac:dyDescent="0.25">
      <c r="C7" s="2" t="s">
        <v>29</v>
      </c>
    </row>
    <row r="8" spans="1:3" x14ac:dyDescent="0.25">
      <c r="B8" s="1" t="s">
        <v>0</v>
      </c>
      <c r="C8" t="s">
        <v>1</v>
      </c>
    </row>
    <row r="9" spans="1:3" x14ac:dyDescent="0.25">
      <c r="B9" s="1" t="s">
        <v>2</v>
      </c>
      <c r="C9" t="s">
        <v>3</v>
      </c>
    </row>
    <row r="10" spans="1:3" x14ac:dyDescent="0.25">
      <c r="B10" s="1" t="s">
        <v>4</v>
      </c>
      <c r="C10" t="s">
        <v>5</v>
      </c>
    </row>
    <row r="11" spans="1:3" x14ac:dyDescent="0.25">
      <c r="B11" s="1" t="s">
        <v>6</v>
      </c>
      <c r="C11" t="s">
        <v>7</v>
      </c>
    </row>
    <row r="13" spans="1:3" x14ac:dyDescent="0.25">
      <c r="C13" s="2" t="s">
        <v>30</v>
      </c>
    </row>
    <row r="14" spans="1:3" x14ac:dyDescent="0.25">
      <c r="B14" s="1" t="s">
        <v>8</v>
      </c>
      <c r="C14" t="s">
        <v>9</v>
      </c>
    </row>
    <row r="15" spans="1:3" x14ac:dyDescent="0.25">
      <c r="B15" s="1"/>
    </row>
    <row r="16" spans="1:3" x14ac:dyDescent="0.25">
      <c r="B16" s="1"/>
      <c r="C16" s="2" t="s">
        <v>31</v>
      </c>
    </row>
    <row r="17" spans="2:9" x14ac:dyDescent="0.25">
      <c r="B17">
        <v>2</v>
      </c>
      <c r="C17" t="s">
        <v>10</v>
      </c>
      <c r="D17" t="s">
        <v>20</v>
      </c>
      <c r="E17" t="s">
        <v>21</v>
      </c>
    </row>
    <row r="18" spans="2:9" x14ac:dyDescent="0.25">
      <c r="B18">
        <v>2</v>
      </c>
      <c r="C18" t="s">
        <v>11</v>
      </c>
    </row>
    <row r="19" spans="2:9" x14ac:dyDescent="0.25">
      <c r="B19">
        <v>3</v>
      </c>
      <c r="C19" t="s">
        <v>12</v>
      </c>
      <c r="D19" t="s">
        <v>20</v>
      </c>
      <c r="E19" t="s">
        <v>21</v>
      </c>
      <c r="F19" t="s">
        <v>20</v>
      </c>
      <c r="G19" t="s">
        <v>27</v>
      </c>
    </row>
    <row r="20" spans="2:9" x14ac:dyDescent="0.25">
      <c r="B20">
        <v>1</v>
      </c>
      <c r="C20" t="s">
        <v>13</v>
      </c>
      <c r="D20">
        <v>2</v>
      </c>
      <c r="E20" t="s">
        <v>25</v>
      </c>
      <c r="F20">
        <v>3</v>
      </c>
      <c r="G20" t="s">
        <v>13</v>
      </c>
      <c r="H20" t="s">
        <v>20</v>
      </c>
      <c r="I20" t="s">
        <v>24</v>
      </c>
    </row>
    <row r="21" spans="2:9" x14ac:dyDescent="0.25">
      <c r="B21">
        <v>2</v>
      </c>
      <c r="C21" t="s">
        <v>14</v>
      </c>
      <c r="F21">
        <v>2</v>
      </c>
      <c r="G21" t="s">
        <v>14</v>
      </c>
      <c r="H21">
        <v>4</v>
      </c>
      <c r="I21" t="s">
        <v>28</v>
      </c>
    </row>
    <row r="22" spans="2:9" x14ac:dyDescent="0.25">
      <c r="B22">
        <v>4</v>
      </c>
      <c r="C22" t="s">
        <v>15</v>
      </c>
      <c r="F22">
        <v>4</v>
      </c>
      <c r="G22" t="s">
        <v>15</v>
      </c>
    </row>
    <row r="23" spans="2:9" x14ac:dyDescent="0.25">
      <c r="B23">
        <v>2</v>
      </c>
      <c r="C23" t="s">
        <v>16</v>
      </c>
    </row>
    <row r="24" spans="2:9" x14ac:dyDescent="0.25">
      <c r="B24">
        <v>4</v>
      </c>
      <c r="C24" t="s">
        <v>17</v>
      </c>
    </row>
    <row r="25" spans="2:9" x14ac:dyDescent="0.25">
      <c r="B25">
        <v>3</v>
      </c>
      <c r="C25" t="s">
        <v>19</v>
      </c>
      <c r="D25" t="s">
        <v>20</v>
      </c>
      <c r="E25" t="s">
        <v>18</v>
      </c>
    </row>
    <row r="26" spans="2:9" x14ac:dyDescent="0.25">
      <c r="B26">
        <v>4</v>
      </c>
      <c r="C26" t="s">
        <v>12</v>
      </c>
      <c r="D26" t="s">
        <v>20</v>
      </c>
      <c r="E26" t="s">
        <v>21</v>
      </c>
    </row>
    <row r="28" spans="2:9" x14ac:dyDescent="0.25">
      <c r="C28" s="11" t="s">
        <v>280</v>
      </c>
    </row>
    <row r="30" spans="2:9" x14ac:dyDescent="0.25">
      <c r="C30" t="s">
        <v>26</v>
      </c>
    </row>
    <row r="31" spans="2:9" x14ac:dyDescent="0.25">
      <c r="B31" s="1" t="s">
        <v>22</v>
      </c>
      <c r="C31" t="s">
        <v>23</v>
      </c>
    </row>
    <row r="33" spans="3:3" x14ac:dyDescent="0.25">
      <c r="C33" t="s">
        <v>32</v>
      </c>
    </row>
    <row r="34" spans="3:3" x14ac:dyDescent="0.25">
      <c r="C34" t="s">
        <v>33</v>
      </c>
    </row>
  </sheetData>
  <hyperlinks>
    <hyperlink ref="C28" r:id="rId1" xr:uid="{CEA3F4EF-4ED9-4895-80F4-E66A2052CD2B}"/>
  </hyperlinks>
  <printOptions gridLines="1"/>
  <pageMargins left="0.70866141732283472" right="0.70866141732283472" top="0.74803149606299213" bottom="0.74803149606299213" header="0.31496062992125984" footer="0.31496062992125984"/>
  <pageSetup paperSize="9" scale="94" orientation="landscape" r:id="rId2"/>
  <headerFooter>
    <oddHeader>&amp;A</oddHeader>
    <oddFoote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9C15-2320-4D41-88C3-41A9B466952A}">
  <sheetPr>
    <pageSetUpPr fitToPage="1"/>
  </sheetPr>
  <dimension ref="B2:D22"/>
  <sheetViews>
    <sheetView workbookViewId="0"/>
  </sheetViews>
  <sheetFormatPr defaultRowHeight="15" x14ac:dyDescent="0.25"/>
  <cols>
    <col min="2" max="2" width="5.7109375" bestFit="1" customWidth="1"/>
    <col min="3" max="3" width="32.85546875" bestFit="1" customWidth="1"/>
    <col min="4" max="4" width="15.85546875" bestFit="1" customWidth="1"/>
    <col min="5" max="5" width="7" bestFit="1" customWidth="1"/>
    <col min="6" max="6" width="2.7109375" bestFit="1" customWidth="1"/>
    <col min="7" max="7" width="8.85546875" bestFit="1" customWidth="1"/>
    <col min="8" max="8" width="2.7109375" bestFit="1" customWidth="1"/>
    <col min="9" max="9" width="5.7109375" bestFit="1" customWidth="1"/>
  </cols>
  <sheetData>
    <row r="2" spans="2:4" x14ac:dyDescent="0.25">
      <c r="C2" s="2" t="s">
        <v>213</v>
      </c>
    </row>
    <row r="3" spans="2:4" x14ac:dyDescent="0.25">
      <c r="C3" t="s">
        <v>214</v>
      </c>
    </row>
    <row r="4" spans="2:4" x14ac:dyDescent="0.25">
      <c r="C4" t="s">
        <v>215</v>
      </c>
    </row>
    <row r="5" spans="2:4" x14ac:dyDescent="0.25">
      <c r="C5" t="s">
        <v>216</v>
      </c>
    </row>
    <row r="6" spans="2:4" x14ac:dyDescent="0.25">
      <c r="C6" s="2"/>
    </row>
    <row r="7" spans="2:4" x14ac:dyDescent="0.25">
      <c r="C7" s="2" t="s">
        <v>29</v>
      </c>
    </row>
    <row r="8" spans="2:4" x14ac:dyDescent="0.25">
      <c r="B8" s="1" t="s">
        <v>0</v>
      </c>
      <c r="C8" t="s">
        <v>35</v>
      </c>
    </row>
    <row r="9" spans="2:4" x14ac:dyDescent="0.25">
      <c r="B9" s="1"/>
      <c r="C9" t="s">
        <v>36</v>
      </c>
    </row>
    <row r="10" spans="2:4" x14ac:dyDescent="0.25">
      <c r="B10" s="1"/>
    </row>
    <row r="12" spans="2:4" x14ac:dyDescent="0.25">
      <c r="C12" s="2" t="s">
        <v>30</v>
      </c>
    </row>
    <row r="13" spans="2:4" x14ac:dyDescent="0.25">
      <c r="C13" t="s">
        <v>40</v>
      </c>
    </row>
    <row r="14" spans="2:4" x14ac:dyDescent="0.25">
      <c r="B14" s="1" t="s">
        <v>8</v>
      </c>
      <c r="C14" s="3" t="s">
        <v>34</v>
      </c>
      <c r="D14" t="s">
        <v>44</v>
      </c>
    </row>
    <row r="15" spans="2:4" x14ac:dyDescent="0.25">
      <c r="B15" s="1"/>
    </row>
    <row r="16" spans="2:4" x14ac:dyDescent="0.25">
      <c r="B16" s="1"/>
      <c r="C16" s="2" t="s">
        <v>31</v>
      </c>
    </row>
    <row r="17" spans="2:4" x14ac:dyDescent="0.25">
      <c r="C17" s="3" t="s">
        <v>37</v>
      </c>
      <c r="D17" t="s">
        <v>41</v>
      </c>
    </row>
    <row r="18" spans="2:4" x14ac:dyDescent="0.25">
      <c r="C18" s="3" t="s">
        <v>38</v>
      </c>
      <c r="D18" t="s">
        <v>42</v>
      </c>
    </row>
    <row r="19" spans="2:4" x14ac:dyDescent="0.25">
      <c r="C19" s="3" t="s">
        <v>39</v>
      </c>
      <c r="D19" t="s">
        <v>43</v>
      </c>
    </row>
    <row r="22" spans="2:4" x14ac:dyDescent="0.25">
      <c r="B22" s="1" t="s">
        <v>22</v>
      </c>
    </row>
  </sheetData>
  <printOptions gridLines="1"/>
  <pageMargins left="0.70866141732283472" right="0.70866141732283472" top="0.74803149606299213" bottom="0.74803149606299213" header="0.31496062992125984" footer="0.31496062992125984"/>
  <pageSetup paperSize="9" orientation="landscape" r:id="rId1"/>
  <headerFooter>
    <oddHeader>&amp;A</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9B970-86DB-46E4-87BE-3A20CE2E6483}">
  <sheetPr>
    <pageSetUpPr fitToPage="1"/>
  </sheetPr>
  <dimension ref="B2:D25"/>
  <sheetViews>
    <sheetView workbookViewId="0"/>
  </sheetViews>
  <sheetFormatPr defaultRowHeight="15" x14ac:dyDescent="0.25"/>
  <cols>
    <col min="2" max="2" width="5.7109375" bestFit="1" customWidth="1"/>
    <col min="3" max="3" width="35" bestFit="1" customWidth="1"/>
    <col min="4" max="4" width="25.140625" bestFit="1" customWidth="1"/>
    <col min="5" max="5" width="7" bestFit="1" customWidth="1"/>
    <col min="6" max="6" width="2.7109375" bestFit="1" customWidth="1"/>
    <col min="7" max="7" width="8.85546875" bestFit="1" customWidth="1"/>
    <col min="8" max="8" width="2.7109375" bestFit="1" customWidth="1"/>
    <col min="9" max="9" width="5.7109375" bestFit="1" customWidth="1"/>
    <col min="11" max="11" width="13.28515625" bestFit="1" customWidth="1"/>
    <col min="12" max="12" width="22.7109375" bestFit="1" customWidth="1"/>
  </cols>
  <sheetData>
    <row r="2" spans="2:4" x14ac:dyDescent="0.25">
      <c r="C2" s="2" t="s">
        <v>213</v>
      </c>
    </row>
    <row r="3" spans="2:4" x14ac:dyDescent="0.25">
      <c r="C3" t="s">
        <v>217</v>
      </c>
    </row>
    <row r="4" spans="2:4" x14ac:dyDescent="0.25">
      <c r="C4" t="s">
        <v>215</v>
      </c>
    </row>
    <row r="5" spans="2:4" x14ac:dyDescent="0.25">
      <c r="C5" t="s">
        <v>216</v>
      </c>
    </row>
    <row r="7" spans="2:4" x14ac:dyDescent="0.25">
      <c r="C7" s="2" t="s">
        <v>29</v>
      </c>
    </row>
    <row r="8" spans="2:4" x14ac:dyDescent="0.25">
      <c r="B8" s="1" t="s">
        <v>0</v>
      </c>
      <c r="C8" t="s">
        <v>47</v>
      </c>
    </row>
    <row r="9" spans="2:4" x14ac:dyDescent="0.25">
      <c r="B9" s="1"/>
      <c r="C9" t="s">
        <v>48</v>
      </c>
    </row>
    <row r="10" spans="2:4" x14ac:dyDescent="0.25">
      <c r="B10" s="1"/>
    </row>
    <row r="11" spans="2:4" x14ac:dyDescent="0.25">
      <c r="B11" s="1" t="s">
        <v>2</v>
      </c>
      <c r="C11" t="s">
        <v>53</v>
      </c>
    </row>
    <row r="12" spans="2:4" x14ac:dyDescent="0.25">
      <c r="C12" t="s">
        <v>54</v>
      </c>
      <c r="D12" t="s">
        <v>55</v>
      </c>
    </row>
    <row r="15" spans="2:4" x14ac:dyDescent="0.25">
      <c r="C15" s="2" t="s">
        <v>30</v>
      </c>
    </row>
    <row r="16" spans="2:4" x14ac:dyDescent="0.25">
      <c r="C16" t="s">
        <v>45</v>
      </c>
    </row>
    <row r="17" spans="2:4" x14ac:dyDescent="0.25">
      <c r="B17" s="1" t="s">
        <v>8</v>
      </c>
      <c r="C17" s="3" t="s">
        <v>46</v>
      </c>
      <c r="D17" t="s">
        <v>44</v>
      </c>
    </row>
    <row r="18" spans="2:4" x14ac:dyDescent="0.25">
      <c r="B18" s="1"/>
    </row>
    <row r="19" spans="2:4" x14ac:dyDescent="0.25">
      <c r="B19" s="1"/>
      <c r="C19" s="2" t="s">
        <v>31</v>
      </c>
    </row>
    <row r="20" spans="2:4" x14ac:dyDescent="0.25">
      <c r="C20" s="3" t="s">
        <v>49</v>
      </c>
      <c r="D20" t="s">
        <v>43</v>
      </c>
    </row>
    <row r="21" spans="2:4" x14ac:dyDescent="0.25">
      <c r="C21" s="3" t="s">
        <v>50</v>
      </c>
      <c r="D21" t="s">
        <v>42</v>
      </c>
    </row>
    <row r="22" spans="2:4" x14ac:dyDescent="0.25">
      <c r="C22" s="3" t="s">
        <v>51</v>
      </c>
      <c r="D22" t="s">
        <v>52</v>
      </c>
    </row>
    <row r="25" spans="2:4" x14ac:dyDescent="0.25">
      <c r="B25" s="1" t="s">
        <v>22</v>
      </c>
    </row>
  </sheetData>
  <printOptions gridLines="1"/>
  <pageMargins left="0.70866141732283472" right="0.70866141732283472" top="0.74803149606299213" bottom="0.74803149606299213" header="0.31496062992125984" footer="0.31496062992125984"/>
  <pageSetup paperSize="9" orientation="landscape" r:id="rId1"/>
  <headerFooter>
    <oddHeader>&amp;A</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521F-3071-409D-8876-F4C335307209}">
  <sheetPr>
    <pageSetUpPr fitToPage="1"/>
  </sheetPr>
  <dimension ref="B2:O37"/>
  <sheetViews>
    <sheetView workbookViewId="0"/>
  </sheetViews>
  <sheetFormatPr defaultRowHeight="15" x14ac:dyDescent="0.25"/>
  <cols>
    <col min="2" max="2" width="5.7109375" bestFit="1" customWidth="1"/>
    <col min="3" max="3" width="35" bestFit="1" customWidth="1"/>
    <col min="4" max="4" width="33.5703125" bestFit="1" customWidth="1"/>
    <col min="5" max="5" width="2" bestFit="1" customWidth="1"/>
    <col min="6" max="7" width="2.7109375" bestFit="1" customWidth="1"/>
    <col min="8" max="8" width="3" bestFit="1" customWidth="1"/>
    <col min="9" max="9" width="13.28515625" bestFit="1" customWidth="1"/>
    <col min="10" max="10" width="22.7109375" bestFit="1" customWidth="1"/>
    <col min="12" max="12" width="15.42578125" bestFit="1" customWidth="1"/>
    <col min="13" max="13" width="3.85546875" bestFit="1" customWidth="1"/>
    <col min="14" max="14" width="2.85546875" bestFit="1" customWidth="1"/>
    <col min="15" max="15" width="2" bestFit="1" customWidth="1"/>
  </cols>
  <sheetData>
    <row r="2" spans="2:14" x14ac:dyDescent="0.25">
      <c r="C2" s="2" t="s">
        <v>213</v>
      </c>
    </row>
    <row r="3" spans="2:14" x14ac:dyDescent="0.25">
      <c r="C3" t="s">
        <v>133</v>
      </c>
      <c r="E3" s="4" t="s">
        <v>80</v>
      </c>
    </row>
    <row r="4" spans="2:14" x14ac:dyDescent="0.25">
      <c r="C4" t="s">
        <v>216</v>
      </c>
    </row>
    <row r="5" spans="2:14" x14ac:dyDescent="0.25">
      <c r="C5" t="s">
        <v>218</v>
      </c>
      <c r="E5" s="4" t="s">
        <v>80</v>
      </c>
    </row>
    <row r="7" spans="2:14" x14ac:dyDescent="0.25">
      <c r="C7" s="2" t="s">
        <v>29</v>
      </c>
      <c r="I7" t="s">
        <v>56</v>
      </c>
      <c r="J7" t="s">
        <v>57</v>
      </c>
      <c r="L7" t="s">
        <v>86</v>
      </c>
    </row>
    <row r="8" spans="2:14" x14ac:dyDescent="0.25">
      <c r="B8" s="1" t="s">
        <v>0</v>
      </c>
      <c r="C8" t="s">
        <v>61</v>
      </c>
      <c r="H8">
        <v>1</v>
      </c>
      <c r="I8">
        <v>2</v>
      </c>
      <c r="J8">
        <v>4</v>
      </c>
      <c r="L8">
        <v>1</v>
      </c>
    </row>
    <row r="9" spans="2:14" x14ac:dyDescent="0.25">
      <c r="B9" s="1"/>
      <c r="C9" t="s">
        <v>62</v>
      </c>
      <c r="H9">
        <v>2</v>
      </c>
      <c r="I9">
        <v>3</v>
      </c>
      <c r="J9">
        <v>6</v>
      </c>
      <c r="L9">
        <v>3</v>
      </c>
      <c r="M9">
        <f>L9-L8</f>
        <v>2</v>
      </c>
    </row>
    <row r="10" spans="2:14" x14ac:dyDescent="0.25">
      <c r="B10" s="1"/>
      <c r="H10">
        <v>3</v>
      </c>
      <c r="I10">
        <v>5</v>
      </c>
      <c r="J10">
        <v>8</v>
      </c>
      <c r="L10">
        <v>7</v>
      </c>
      <c r="M10">
        <f t="shared" ref="M10:N18" si="0">L10-L9</f>
        <v>4</v>
      </c>
      <c r="N10">
        <f>M10-M9</f>
        <v>2</v>
      </c>
    </row>
    <row r="11" spans="2:14" x14ac:dyDescent="0.25">
      <c r="B11" s="1" t="s">
        <v>2</v>
      </c>
      <c r="C11" s="3" t="s">
        <v>70</v>
      </c>
      <c r="H11">
        <v>4</v>
      </c>
      <c r="I11">
        <v>7</v>
      </c>
      <c r="J11">
        <v>9</v>
      </c>
      <c r="L11">
        <v>12</v>
      </c>
      <c r="M11">
        <f t="shared" si="0"/>
        <v>5</v>
      </c>
      <c r="N11">
        <f t="shared" si="0"/>
        <v>1</v>
      </c>
    </row>
    <row r="12" spans="2:14" x14ac:dyDescent="0.25">
      <c r="C12" t="s">
        <v>71</v>
      </c>
      <c r="D12" t="s">
        <v>69</v>
      </c>
      <c r="H12">
        <v>5</v>
      </c>
      <c r="I12">
        <v>11</v>
      </c>
      <c r="J12">
        <v>10</v>
      </c>
      <c r="L12">
        <v>18</v>
      </c>
      <c r="M12">
        <f t="shared" si="0"/>
        <v>6</v>
      </c>
      <c r="N12">
        <f t="shared" si="0"/>
        <v>1</v>
      </c>
    </row>
    <row r="13" spans="2:14" x14ac:dyDescent="0.25">
      <c r="H13">
        <v>6</v>
      </c>
      <c r="I13">
        <v>13</v>
      </c>
      <c r="J13">
        <v>12</v>
      </c>
      <c r="L13">
        <v>26</v>
      </c>
      <c r="M13">
        <f t="shared" si="0"/>
        <v>8</v>
      </c>
      <c r="N13">
        <f t="shared" si="0"/>
        <v>2</v>
      </c>
    </row>
    <row r="14" spans="2:14" x14ac:dyDescent="0.25">
      <c r="B14" s="1" t="s">
        <v>4</v>
      </c>
      <c r="C14" t="s">
        <v>72</v>
      </c>
      <c r="H14">
        <v>7</v>
      </c>
      <c r="I14">
        <v>17</v>
      </c>
      <c r="J14">
        <v>14</v>
      </c>
      <c r="L14">
        <v>35</v>
      </c>
      <c r="M14">
        <f t="shared" si="0"/>
        <v>9</v>
      </c>
      <c r="N14">
        <f t="shared" si="0"/>
        <v>1</v>
      </c>
    </row>
    <row r="15" spans="2:14" x14ac:dyDescent="0.25">
      <c r="C15" t="s">
        <v>73</v>
      </c>
      <c r="H15">
        <v>8</v>
      </c>
      <c r="I15">
        <v>19</v>
      </c>
      <c r="J15">
        <v>15</v>
      </c>
      <c r="L15">
        <v>45</v>
      </c>
      <c r="M15">
        <f t="shared" si="0"/>
        <v>10</v>
      </c>
      <c r="N15">
        <f t="shared" si="0"/>
        <v>1</v>
      </c>
    </row>
    <row r="16" spans="2:14" x14ac:dyDescent="0.25">
      <c r="C16" t="s">
        <v>74</v>
      </c>
      <c r="H16">
        <v>9</v>
      </c>
      <c r="I16">
        <v>23</v>
      </c>
      <c r="J16">
        <v>16</v>
      </c>
      <c r="L16">
        <v>56</v>
      </c>
      <c r="M16">
        <f t="shared" si="0"/>
        <v>11</v>
      </c>
      <c r="N16">
        <f t="shared" si="0"/>
        <v>1</v>
      </c>
    </row>
    <row r="17" spans="2:15" x14ac:dyDescent="0.25">
      <c r="H17">
        <v>10</v>
      </c>
      <c r="I17">
        <v>29</v>
      </c>
      <c r="J17">
        <v>18</v>
      </c>
      <c r="L17">
        <v>69</v>
      </c>
      <c r="M17">
        <f t="shared" si="0"/>
        <v>13</v>
      </c>
      <c r="N17">
        <f t="shared" si="0"/>
        <v>2</v>
      </c>
    </row>
    <row r="18" spans="2:15" x14ac:dyDescent="0.25">
      <c r="B18" s="1" t="s">
        <v>6</v>
      </c>
      <c r="C18" t="s">
        <v>76</v>
      </c>
      <c r="H18">
        <v>11</v>
      </c>
      <c r="I18">
        <v>31</v>
      </c>
      <c r="J18">
        <v>20</v>
      </c>
      <c r="L18" s="5">
        <f>L17+14</f>
        <v>83</v>
      </c>
      <c r="M18" s="5">
        <f t="shared" si="0"/>
        <v>14</v>
      </c>
      <c r="N18" s="5">
        <f t="shared" si="0"/>
        <v>1</v>
      </c>
      <c r="O18" s="4" t="s">
        <v>80</v>
      </c>
    </row>
    <row r="19" spans="2:15" x14ac:dyDescent="0.25">
      <c r="C19" t="s">
        <v>77</v>
      </c>
      <c r="D19" t="s">
        <v>75</v>
      </c>
      <c r="H19">
        <v>12</v>
      </c>
      <c r="I19">
        <v>37</v>
      </c>
      <c r="J19">
        <v>21</v>
      </c>
    </row>
    <row r="20" spans="2:15" x14ac:dyDescent="0.25">
      <c r="H20">
        <v>13</v>
      </c>
      <c r="I20">
        <v>41</v>
      </c>
      <c r="J20">
        <v>22</v>
      </c>
    </row>
    <row r="21" spans="2:15" x14ac:dyDescent="0.25">
      <c r="C21" s="2" t="s">
        <v>30</v>
      </c>
      <c r="H21">
        <v>14</v>
      </c>
      <c r="I21">
        <v>43</v>
      </c>
      <c r="J21">
        <v>24</v>
      </c>
    </row>
    <row r="22" spans="2:15" x14ac:dyDescent="0.25">
      <c r="C22" t="s">
        <v>78</v>
      </c>
      <c r="D22" t="s">
        <v>79</v>
      </c>
      <c r="H22">
        <v>15</v>
      </c>
      <c r="I22">
        <v>47</v>
      </c>
      <c r="J22">
        <v>25</v>
      </c>
    </row>
    <row r="23" spans="2:15" x14ac:dyDescent="0.25">
      <c r="C23" t="s">
        <v>59</v>
      </c>
      <c r="D23" t="s">
        <v>60</v>
      </c>
      <c r="H23">
        <v>16</v>
      </c>
      <c r="I23">
        <v>53</v>
      </c>
      <c r="J23">
        <v>26</v>
      </c>
    </row>
    <row r="24" spans="2:15" x14ac:dyDescent="0.25">
      <c r="B24" s="1" t="s">
        <v>8</v>
      </c>
      <c r="C24" s="3" t="s">
        <v>63</v>
      </c>
      <c r="D24" t="s">
        <v>64</v>
      </c>
      <c r="H24">
        <v>17</v>
      </c>
      <c r="I24">
        <v>59</v>
      </c>
      <c r="J24">
        <v>27</v>
      </c>
    </row>
    <row r="25" spans="2:15" x14ac:dyDescent="0.25">
      <c r="B25" s="1"/>
      <c r="H25">
        <v>18</v>
      </c>
      <c r="I25">
        <v>61</v>
      </c>
      <c r="J25">
        <v>28</v>
      </c>
    </row>
    <row r="26" spans="2:15" x14ac:dyDescent="0.25">
      <c r="B26" s="1"/>
      <c r="C26" s="2" t="s">
        <v>31</v>
      </c>
      <c r="H26">
        <v>19</v>
      </c>
      <c r="I26">
        <v>67</v>
      </c>
      <c r="J26">
        <v>30</v>
      </c>
    </row>
    <row r="27" spans="2:15" x14ac:dyDescent="0.25">
      <c r="B27">
        <v>1</v>
      </c>
      <c r="C27" s="3" t="s">
        <v>65</v>
      </c>
      <c r="D27" t="s">
        <v>66</v>
      </c>
      <c r="H27">
        <v>20</v>
      </c>
      <c r="I27">
        <v>71</v>
      </c>
      <c r="J27">
        <v>32</v>
      </c>
    </row>
    <row r="28" spans="2:15" x14ac:dyDescent="0.25">
      <c r="B28">
        <v>1</v>
      </c>
      <c r="C28" s="3" t="s">
        <v>68</v>
      </c>
      <c r="D28" t="s">
        <v>67</v>
      </c>
      <c r="E28" s="4" t="s">
        <v>80</v>
      </c>
    </row>
    <row r="29" spans="2:15" x14ac:dyDescent="0.25">
      <c r="B29">
        <v>2</v>
      </c>
      <c r="C29" s="3" t="s">
        <v>81</v>
      </c>
      <c r="D29" t="s">
        <v>87</v>
      </c>
      <c r="J29" t="s">
        <v>58</v>
      </c>
    </row>
    <row r="30" spans="2:15" x14ac:dyDescent="0.25">
      <c r="B30">
        <v>3</v>
      </c>
      <c r="C30" s="3" t="s">
        <v>82</v>
      </c>
      <c r="D30" t="s">
        <v>88</v>
      </c>
      <c r="E30" s="4" t="s">
        <v>80</v>
      </c>
    </row>
    <row r="31" spans="2:15" x14ac:dyDescent="0.25">
      <c r="B31">
        <v>3</v>
      </c>
      <c r="C31" s="3" t="s">
        <v>83</v>
      </c>
      <c r="D31" t="s">
        <v>88</v>
      </c>
      <c r="E31" s="4" t="s">
        <v>80</v>
      </c>
    </row>
    <row r="32" spans="2:15" x14ac:dyDescent="0.25">
      <c r="B32">
        <v>4</v>
      </c>
      <c r="C32" s="3" t="s">
        <v>84</v>
      </c>
      <c r="D32" t="s">
        <v>87</v>
      </c>
    </row>
    <row r="33" spans="2:4" x14ac:dyDescent="0.25">
      <c r="B33">
        <v>4</v>
      </c>
      <c r="C33" t="s">
        <v>85</v>
      </c>
      <c r="D33" t="s">
        <v>87</v>
      </c>
    </row>
    <row r="37" spans="2:4" x14ac:dyDescent="0.25">
      <c r="B37" s="1" t="s">
        <v>22</v>
      </c>
      <c r="C37" s="11" t="s">
        <v>295</v>
      </c>
    </row>
  </sheetData>
  <hyperlinks>
    <hyperlink ref="C37" r:id="rId1" xr:uid="{DD9C1E8E-2C2B-4664-96C5-D215ED7D0660}"/>
  </hyperlinks>
  <printOptions gridLines="1"/>
  <pageMargins left="0.70866141732283472" right="0.70866141732283472" top="0.74803149606299213" bottom="0.74803149606299213" header="0.31496062992125984" footer="0.31496062992125984"/>
  <pageSetup paperSize="9" scale="80" orientation="landscape" r:id="rId2"/>
  <headerFooter>
    <oddHeader>&amp;A</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41536-DD22-48F4-BCED-BC6FFD10A1F0}">
  <sheetPr>
    <pageSetUpPr fitToPage="1"/>
  </sheetPr>
  <dimension ref="B2:J41"/>
  <sheetViews>
    <sheetView workbookViewId="0"/>
  </sheetViews>
  <sheetFormatPr defaultRowHeight="15" x14ac:dyDescent="0.25"/>
  <cols>
    <col min="5" max="6" width="12" bestFit="1" customWidth="1"/>
    <col min="7" max="7" width="2.5703125" customWidth="1"/>
    <col min="9" max="9" width="2" bestFit="1" customWidth="1"/>
    <col min="10" max="10" width="7.42578125" bestFit="1" customWidth="1"/>
  </cols>
  <sheetData>
    <row r="2" spans="2:10" x14ac:dyDescent="0.25">
      <c r="C2" s="1" t="s">
        <v>89</v>
      </c>
      <c r="D2" s="1"/>
      <c r="E2" t="s">
        <v>128</v>
      </c>
    </row>
    <row r="3" spans="2:10" x14ac:dyDescent="0.25">
      <c r="B3" s="10">
        <v>1</v>
      </c>
      <c r="C3" s="10">
        <v>1</v>
      </c>
      <c r="D3" s="10"/>
      <c r="E3" s="10"/>
      <c r="F3" s="10"/>
      <c r="G3" s="10"/>
      <c r="H3" s="10"/>
      <c r="I3" s="10"/>
      <c r="J3" s="10"/>
    </row>
    <row r="4" spans="2:10" x14ac:dyDescent="0.25">
      <c r="B4">
        <v>2</v>
      </c>
      <c r="C4">
        <v>1</v>
      </c>
    </row>
    <row r="5" spans="2:10" x14ac:dyDescent="0.25">
      <c r="B5">
        <v>3</v>
      </c>
      <c r="C5">
        <f>C4+C4</f>
        <v>2</v>
      </c>
      <c r="E5" t="s">
        <v>96</v>
      </c>
      <c r="F5" t="s">
        <v>95</v>
      </c>
      <c r="H5" t="s">
        <v>90</v>
      </c>
      <c r="I5" s="7" t="s">
        <v>91</v>
      </c>
      <c r="J5" t="s">
        <v>90</v>
      </c>
    </row>
    <row r="6" spans="2:10" x14ac:dyDescent="0.25">
      <c r="B6">
        <v>4</v>
      </c>
      <c r="C6">
        <f>C4+C5</f>
        <v>3</v>
      </c>
      <c r="E6" t="s">
        <v>92</v>
      </c>
      <c r="F6" t="s">
        <v>93</v>
      </c>
      <c r="H6" t="s">
        <v>90</v>
      </c>
      <c r="I6" s="8" t="s">
        <v>91</v>
      </c>
      <c r="J6" t="s">
        <v>94</v>
      </c>
    </row>
    <row r="7" spans="2:10" x14ac:dyDescent="0.25">
      <c r="B7">
        <v>5</v>
      </c>
      <c r="C7">
        <f>C4+C5</f>
        <v>3</v>
      </c>
      <c r="E7" t="s">
        <v>97</v>
      </c>
      <c r="F7" t="s">
        <v>98</v>
      </c>
      <c r="H7" t="s">
        <v>90</v>
      </c>
      <c r="I7" s="8" t="s">
        <v>91</v>
      </c>
      <c r="J7" t="s">
        <v>94</v>
      </c>
    </row>
    <row r="8" spans="2:10" x14ac:dyDescent="0.25">
      <c r="B8">
        <v>6</v>
      </c>
      <c r="C8">
        <f>C5+C5</f>
        <v>4</v>
      </c>
      <c r="E8" t="s">
        <v>100</v>
      </c>
      <c r="F8" t="s">
        <v>99</v>
      </c>
      <c r="H8" t="s">
        <v>94</v>
      </c>
      <c r="I8" s="8" t="s">
        <v>91</v>
      </c>
      <c r="J8" t="s">
        <v>94</v>
      </c>
    </row>
    <row r="9" spans="2:10" x14ac:dyDescent="0.25">
      <c r="B9">
        <v>7</v>
      </c>
      <c r="C9">
        <f>C5+C6</f>
        <v>5</v>
      </c>
      <c r="E9" t="s">
        <v>102</v>
      </c>
      <c r="F9" t="s">
        <v>101</v>
      </c>
      <c r="H9" t="s">
        <v>94</v>
      </c>
      <c r="I9" s="8" t="s">
        <v>91</v>
      </c>
      <c r="J9" t="s">
        <v>125</v>
      </c>
    </row>
    <row r="10" spans="2:10" x14ac:dyDescent="0.25">
      <c r="B10">
        <v>8</v>
      </c>
      <c r="C10">
        <f>C5+C6</f>
        <v>5</v>
      </c>
      <c r="E10" t="s">
        <v>103</v>
      </c>
      <c r="F10" t="s">
        <v>114</v>
      </c>
      <c r="H10" t="s">
        <v>94</v>
      </c>
      <c r="I10" s="8" t="s">
        <v>91</v>
      </c>
      <c r="J10" t="s">
        <v>125</v>
      </c>
    </row>
    <row r="11" spans="2:10" x14ac:dyDescent="0.25">
      <c r="B11">
        <v>9</v>
      </c>
      <c r="C11">
        <f>C6+C6</f>
        <v>6</v>
      </c>
      <c r="E11" t="s">
        <v>104</v>
      </c>
      <c r="F11" t="s">
        <v>115</v>
      </c>
      <c r="H11" t="s">
        <v>125</v>
      </c>
      <c r="I11" s="8" t="s">
        <v>91</v>
      </c>
      <c r="J11" t="s">
        <v>125</v>
      </c>
    </row>
    <row r="12" spans="2:10" x14ac:dyDescent="0.25">
      <c r="B12">
        <v>10</v>
      </c>
      <c r="C12">
        <f>+C6+C7</f>
        <v>6</v>
      </c>
      <c r="E12" t="s">
        <v>105</v>
      </c>
      <c r="F12" t="s">
        <v>116</v>
      </c>
      <c r="H12" t="s">
        <v>125</v>
      </c>
      <c r="I12" s="8" t="s">
        <v>91</v>
      </c>
      <c r="J12" t="s">
        <v>126</v>
      </c>
    </row>
    <row r="13" spans="2:10" x14ac:dyDescent="0.25">
      <c r="B13">
        <v>11</v>
      </c>
      <c r="C13">
        <f>C7+C7</f>
        <v>6</v>
      </c>
      <c r="E13" t="s">
        <v>106</v>
      </c>
      <c r="F13" t="s">
        <v>117</v>
      </c>
      <c r="H13" t="s">
        <v>126</v>
      </c>
      <c r="I13" s="8" t="s">
        <v>91</v>
      </c>
      <c r="J13" t="s">
        <v>126</v>
      </c>
    </row>
    <row r="14" spans="2:10" x14ac:dyDescent="0.25">
      <c r="B14">
        <v>12</v>
      </c>
      <c r="C14">
        <f>C8+C8</f>
        <v>8</v>
      </c>
      <c r="E14" t="s">
        <v>107</v>
      </c>
      <c r="F14" t="s">
        <v>118</v>
      </c>
      <c r="H14" t="s">
        <v>127</v>
      </c>
      <c r="I14" s="8" t="s">
        <v>91</v>
      </c>
      <c r="J14" t="s">
        <v>127</v>
      </c>
    </row>
    <row r="15" spans="2:10" x14ac:dyDescent="0.25">
      <c r="B15">
        <v>13</v>
      </c>
      <c r="C15">
        <f>C7+C9</f>
        <v>8</v>
      </c>
      <c r="E15" t="s">
        <v>108</v>
      </c>
      <c r="F15" t="s">
        <v>119</v>
      </c>
      <c r="H15" t="s">
        <v>126</v>
      </c>
      <c r="I15" s="8" t="s">
        <v>91</v>
      </c>
      <c r="J15" t="s">
        <v>129</v>
      </c>
    </row>
    <row r="16" spans="2:10" x14ac:dyDescent="0.25">
      <c r="B16">
        <v>14</v>
      </c>
      <c r="C16">
        <f>C8+C8</f>
        <v>8</v>
      </c>
      <c r="E16" t="s">
        <v>109</v>
      </c>
      <c r="F16" t="s">
        <v>120</v>
      </c>
      <c r="H16" t="s">
        <v>127</v>
      </c>
      <c r="I16" s="8" t="s">
        <v>91</v>
      </c>
      <c r="J16" t="s">
        <v>127</v>
      </c>
    </row>
    <row r="17" spans="2:10" x14ac:dyDescent="0.25">
      <c r="B17">
        <v>15</v>
      </c>
      <c r="C17">
        <f>C9+C9</f>
        <v>10</v>
      </c>
      <c r="E17" t="s">
        <v>110</v>
      </c>
      <c r="F17" t="s">
        <v>121</v>
      </c>
      <c r="H17" t="s">
        <v>129</v>
      </c>
      <c r="I17" s="8" t="s">
        <v>91</v>
      </c>
      <c r="J17" t="s">
        <v>129</v>
      </c>
    </row>
    <row r="18" spans="2:10" x14ac:dyDescent="0.25">
      <c r="B18">
        <v>16</v>
      </c>
      <c r="C18">
        <f>C8+C10</f>
        <v>9</v>
      </c>
      <c r="E18" t="s">
        <v>111</v>
      </c>
      <c r="F18" t="s">
        <v>122</v>
      </c>
      <c r="H18" t="s">
        <v>127</v>
      </c>
      <c r="I18" s="8" t="s">
        <v>91</v>
      </c>
      <c r="J18" t="s">
        <v>130</v>
      </c>
    </row>
    <row r="19" spans="2:10" x14ac:dyDescent="0.25">
      <c r="B19">
        <v>17</v>
      </c>
      <c r="C19">
        <f>C10+C9</f>
        <v>10</v>
      </c>
      <c r="E19" t="s">
        <v>112</v>
      </c>
      <c r="F19" t="s">
        <v>123</v>
      </c>
      <c r="H19" t="s">
        <v>130</v>
      </c>
      <c r="I19" s="8" t="s">
        <v>91</v>
      </c>
      <c r="J19" t="s">
        <v>129</v>
      </c>
    </row>
    <row r="20" spans="2:10" x14ac:dyDescent="0.25">
      <c r="B20">
        <v>18</v>
      </c>
      <c r="C20">
        <f>C10+C11</f>
        <v>11</v>
      </c>
      <c r="E20" t="s">
        <v>113</v>
      </c>
      <c r="F20" t="s">
        <v>124</v>
      </c>
      <c r="H20" t="s">
        <v>130</v>
      </c>
      <c r="I20" s="8" t="s">
        <v>91</v>
      </c>
      <c r="J20" t="s">
        <v>131</v>
      </c>
    </row>
    <row r="22" spans="2:10" x14ac:dyDescent="0.25">
      <c r="C22" t="s">
        <v>281</v>
      </c>
    </row>
    <row r="23" spans="2:10" x14ac:dyDescent="0.25">
      <c r="C23" t="s">
        <v>282</v>
      </c>
    </row>
    <row r="25" spans="2:10" x14ac:dyDescent="0.25">
      <c r="C25" t="s">
        <v>283</v>
      </c>
    </row>
    <row r="26" spans="2:10" x14ac:dyDescent="0.25">
      <c r="C26" t="s">
        <v>284</v>
      </c>
    </row>
    <row r="28" spans="2:10" x14ac:dyDescent="0.25">
      <c r="B28" s="1" t="s">
        <v>285</v>
      </c>
      <c r="C28" s="1" t="s">
        <v>238</v>
      </c>
      <c r="D28" s="1" t="s">
        <v>210</v>
      </c>
    </row>
    <row r="29" spans="2:10" x14ac:dyDescent="0.25">
      <c r="B29" s="10">
        <v>0</v>
      </c>
      <c r="C29" s="10">
        <v>1</v>
      </c>
      <c r="D29" s="10">
        <v>0</v>
      </c>
    </row>
    <row r="30" spans="2:10" x14ac:dyDescent="0.25">
      <c r="B30">
        <v>1</v>
      </c>
      <c r="C30">
        <f>B30-D30</f>
        <v>1</v>
      </c>
      <c r="D30">
        <f>B30-C29</f>
        <v>0</v>
      </c>
    </row>
    <row r="31" spans="2:10" x14ac:dyDescent="0.25">
      <c r="B31">
        <v>2</v>
      </c>
      <c r="C31">
        <f>B31-D30</f>
        <v>2</v>
      </c>
      <c r="D31">
        <f>B31-C30</f>
        <v>1</v>
      </c>
    </row>
    <row r="32" spans="2:10" x14ac:dyDescent="0.25">
      <c r="B32">
        <v>3</v>
      </c>
      <c r="C32">
        <f t="shared" ref="C32:C39" si="0">B32-D31</f>
        <v>2</v>
      </c>
      <c r="D32">
        <f t="shared" ref="D32:D37" si="1">B32-C31</f>
        <v>1</v>
      </c>
    </row>
    <row r="33" spans="2:4" x14ac:dyDescent="0.25">
      <c r="B33">
        <v>4</v>
      </c>
      <c r="C33">
        <f t="shared" si="0"/>
        <v>3</v>
      </c>
      <c r="D33">
        <f t="shared" si="1"/>
        <v>2</v>
      </c>
    </row>
    <row r="34" spans="2:4" x14ac:dyDescent="0.25">
      <c r="B34">
        <v>5</v>
      </c>
      <c r="C34">
        <f t="shared" si="0"/>
        <v>3</v>
      </c>
      <c r="D34">
        <f t="shared" si="1"/>
        <v>2</v>
      </c>
    </row>
    <row r="35" spans="2:4" x14ac:dyDescent="0.25">
      <c r="B35">
        <v>6</v>
      </c>
      <c r="C35">
        <f t="shared" si="0"/>
        <v>4</v>
      </c>
      <c r="D35">
        <f t="shared" si="1"/>
        <v>3</v>
      </c>
    </row>
    <row r="36" spans="2:4" x14ac:dyDescent="0.25">
      <c r="B36">
        <v>7</v>
      </c>
      <c r="C36">
        <f t="shared" si="0"/>
        <v>4</v>
      </c>
      <c r="D36">
        <f t="shared" si="1"/>
        <v>3</v>
      </c>
    </row>
    <row r="37" spans="2:4" x14ac:dyDescent="0.25">
      <c r="B37">
        <v>8</v>
      </c>
      <c r="C37">
        <f t="shared" si="0"/>
        <v>5</v>
      </c>
      <c r="D37">
        <f t="shared" si="1"/>
        <v>4</v>
      </c>
    </row>
    <row r="38" spans="2:4" x14ac:dyDescent="0.25">
      <c r="B38">
        <v>9</v>
      </c>
      <c r="C38">
        <f t="shared" si="0"/>
        <v>5</v>
      </c>
      <c r="D38">
        <f t="shared" ref="D38:D39" si="2">B38-C37</f>
        <v>4</v>
      </c>
    </row>
    <row r="39" spans="2:4" x14ac:dyDescent="0.25">
      <c r="B39">
        <v>10</v>
      </c>
      <c r="C39">
        <f t="shared" si="0"/>
        <v>6</v>
      </c>
      <c r="D39">
        <f t="shared" si="2"/>
        <v>5</v>
      </c>
    </row>
    <row r="41" spans="2:4" x14ac:dyDescent="0.25">
      <c r="B41" s="11" t="s">
        <v>286</v>
      </c>
    </row>
  </sheetData>
  <phoneticPr fontId="5" type="noConversion"/>
  <hyperlinks>
    <hyperlink ref="B41" r:id="rId1" xr:uid="{9B29C4B6-BDE3-4DDF-B6B7-A76ADA0D91CD}"/>
  </hyperlinks>
  <printOptions gridLines="1"/>
  <pageMargins left="0.70866141732283472" right="0.70866141732283472" top="0.74803149606299213" bottom="0.74803149606299213" header="0.31496062992125984" footer="0.31496062992125984"/>
  <pageSetup paperSize="9" scale="77" orientation="landscape" r:id="rId2"/>
  <headerFooter>
    <oddHeader>&amp;A</oddHeader>
    <oddFooter>&amp;F</odd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3781-D430-412C-8A2F-3629EFE3F112}">
  <sheetPr>
    <pageSetUpPr fitToPage="1"/>
  </sheetPr>
  <dimension ref="A2:K59"/>
  <sheetViews>
    <sheetView topLeftCell="A7" workbookViewId="0"/>
  </sheetViews>
  <sheetFormatPr defaultRowHeight="15" x14ac:dyDescent="0.25"/>
  <cols>
    <col min="1" max="1" width="9.140625" style="1"/>
    <col min="2" max="2" width="10.140625" bestFit="1" customWidth="1"/>
    <col min="8" max="8" width="23.85546875" customWidth="1"/>
    <col min="9" max="9" width="17.7109375" bestFit="1" customWidth="1"/>
    <col min="11" max="11" width="18.42578125" bestFit="1" customWidth="1"/>
  </cols>
  <sheetData>
    <row r="2" spans="2:3" x14ac:dyDescent="0.25">
      <c r="B2" s="2" t="s">
        <v>132</v>
      </c>
    </row>
    <row r="3" spans="2:3" x14ac:dyDescent="0.25">
      <c r="B3" t="s">
        <v>133</v>
      </c>
    </row>
    <row r="4" spans="2:3" x14ac:dyDescent="0.25">
      <c r="B4" t="s">
        <v>89</v>
      </c>
    </row>
    <row r="5" spans="2:3" x14ac:dyDescent="0.25">
      <c r="B5" t="s">
        <v>134</v>
      </c>
    </row>
    <row r="6" spans="2:3" x14ac:dyDescent="0.25">
      <c r="B6" s="3" t="s">
        <v>135</v>
      </c>
    </row>
    <row r="7" spans="2:3" x14ac:dyDescent="0.25">
      <c r="B7" s="3" t="s">
        <v>136</v>
      </c>
    </row>
    <row r="8" spans="2:3" x14ac:dyDescent="0.25">
      <c r="B8" s="3" t="s">
        <v>137</v>
      </c>
    </row>
    <row r="9" spans="2:3" x14ac:dyDescent="0.25">
      <c r="B9" s="3" t="s">
        <v>138</v>
      </c>
      <c r="C9" t="s">
        <v>140</v>
      </c>
    </row>
    <row r="10" spans="2:3" x14ac:dyDescent="0.25">
      <c r="B10" t="s">
        <v>142</v>
      </c>
      <c r="C10" t="s">
        <v>20</v>
      </c>
    </row>
    <row r="11" spans="2:3" x14ac:dyDescent="0.25">
      <c r="B11" t="s">
        <v>139</v>
      </c>
      <c r="C11" t="s">
        <v>141</v>
      </c>
    </row>
    <row r="12" spans="2:3" x14ac:dyDescent="0.25">
      <c r="B12" t="s">
        <v>146</v>
      </c>
      <c r="C12" t="s">
        <v>145</v>
      </c>
    </row>
    <row r="13" spans="2:3" x14ac:dyDescent="0.25">
      <c r="B13" t="s">
        <v>143</v>
      </c>
    </row>
    <row r="14" spans="2:3" x14ac:dyDescent="0.25">
      <c r="B14" t="s">
        <v>144</v>
      </c>
    </row>
    <row r="16" spans="2:3" x14ac:dyDescent="0.25">
      <c r="B16" s="2" t="s">
        <v>29</v>
      </c>
    </row>
    <row r="17" spans="1:11" x14ac:dyDescent="0.25">
      <c r="A17" s="1" t="s">
        <v>0</v>
      </c>
      <c r="B17" t="s">
        <v>147</v>
      </c>
    </row>
    <row r="18" spans="1:11" x14ac:dyDescent="0.25">
      <c r="B18" t="s">
        <v>148</v>
      </c>
    </row>
    <row r="19" spans="1:11" x14ac:dyDescent="0.25">
      <c r="B19" t="s">
        <v>149</v>
      </c>
    </row>
    <row r="20" spans="1:11" x14ac:dyDescent="0.25">
      <c r="B20" t="s">
        <v>150</v>
      </c>
      <c r="I20" t="s">
        <v>157</v>
      </c>
    </row>
    <row r="21" spans="1:11" x14ac:dyDescent="0.25">
      <c r="B21" t="s">
        <v>151</v>
      </c>
    </row>
    <row r="22" spans="1:11" x14ac:dyDescent="0.25">
      <c r="B22" t="s">
        <v>152</v>
      </c>
    </row>
    <row r="24" spans="1:11" x14ac:dyDescent="0.25">
      <c r="A24" s="1" t="s">
        <v>2</v>
      </c>
      <c r="B24" t="s">
        <v>153</v>
      </c>
      <c r="I24" t="s">
        <v>158</v>
      </c>
    </row>
    <row r="25" spans="1:11" x14ac:dyDescent="0.25">
      <c r="B25" t="s">
        <v>154</v>
      </c>
      <c r="C25" t="s">
        <v>155</v>
      </c>
    </row>
    <row r="26" spans="1:11" x14ac:dyDescent="0.25">
      <c r="B26" t="s">
        <v>156</v>
      </c>
      <c r="C26" t="s">
        <v>155</v>
      </c>
    </row>
    <row r="28" spans="1:11" x14ac:dyDescent="0.25">
      <c r="A28" s="1" t="s">
        <v>4</v>
      </c>
      <c r="B28" t="s">
        <v>159</v>
      </c>
      <c r="C28" t="s">
        <v>160</v>
      </c>
      <c r="I28" t="s">
        <v>161</v>
      </c>
    </row>
    <row r="30" spans="1:11" x14ac:dyDescent="0.25">
      <c r="A30" s="1" t="s">
        <v>6</v>
      </c>
      <c r="B30" t="s">
        <v>162</v>
      </c>
      <c r="I30" t="s">
        <v>164</v>
      </c>
      <c r="J30" t="s">
        <v>20</v>
      </c>
      <c r="K30" t="s">
        <v>185</v>
      </c>
    </row>
    <row r="31" spans="1:11" x14ac:dyDescent="0.25">
      <c r="B31" t="s">
        <v>151</v>
      </c>
      <c r="C31" t="s">
        <v>163</v>
      </c>
    </row>
    <row r="33" spans="1:11" x14ac:dyDescent="0.25">
      <c r="A33" s="1" t="s">
        <v>165</v>
      </c>
      <c r="B33" t="s">
        <v>167</v>
      </c>
      <c r="I33" t="s">
        <v>166</v>
      </c>
    </row>
    <row r="35" spans="1:11" x14ac:dyDescent="0.25">
      <c r="A35" s="1" t="s">
        <v>168</v>
      </c>
      <c r="B35" t="s">
        <v>169</v>
      </c>
      <c r="I35" t="s">
        <v>172</v>
      </c>
      <c r="J35" t="s">
        <v>20</v>
      </c>
      <c r="K35" s="3" t="s">
        <v>184</v>
      </c>
    </row>
    <row r="36" spans="1:11" x14ac:dyDescent="0.25">
      <c r="B36" t="s">
        <v>154</v>
      </c>
      <c r="C36" t="s">
        <v>140</v>
      </c>
    </row>
    <row r="37" spans="1:11" x14ac:dyDescent="0.25">
      <c r="B37" t="s">
        <v>151</v>
      </c>
    </row>
    <row r="38" spans="1:11" x14ac:dyDescent="0.25">
      <c r="B38" t="s">
        <v>170</v>
      </c>
    </row>
    <row r="39" spans="1:11" x14ac:dyDescent="0.25">
      <c r="B39" t="s">
        <v>156</v>
      </c>
    </row>
    <row r="40" spans="1:11" x14ac:dyDescent="0.25">
      <c r="B40" t="s">
        <v>171</v>
      </c>
    </row>
    <row r="42" spans="1:11" x14ac:dyDescent="0.25">
      <c r="A42" s="1" t="s">
        <v>173</v>
      </c>
      <c r="B42" t="s">
        <v>151</v>
      </c>
      <c r="C42" t="s">
        <v>140</v>
      </c>
      <c r="D42" t="s">
        <v>175</v>
      </c>
      <c r="E42" t="s">
        <v>174</v>
      </c>
      <c r="I42" t="s">
        <v>176</v>
      </c>
    </row>
    <row r="44" spans="1:11" x14ac:dyDescent="0.25">
      <c r="A44" s="1" t="s">
        <v>177</v>
      </c>
      <c r="B44" t="s">
        <v>178</v>
      </c>
      <c r="C44" t="s">
        <v>140</v>
      </c>
      <c r="D44" t="s">
        <v>179</v>
      </c>
      <c r="E44" t="s">
        <v>174</v>
      </c>
      <c r="I44" t="s">
        <v>180</v>
      </c>
    </row>
    <row r="46" spans="1:11" x14ac:dyDescent="0.25">
      <c r="A46" s="1" t="s">
        <v>181</v>
      </c>
      <c r="B46" t="s">
        <v>149</v>
      </c>
      <c r="C46" t="s">
        <v>140</v>
      </c>
      <c r="D46" t="s">
        <v>182</v>
      </c>
      <c r="E46" t="s">
        <v>174</v>
      </c>
      <c r="I46" t="s">
        <v>183</v>
      </c>
    </row>
    <row r="48" spans="1:11" x14ac:dyDescent="0.25">
      <c r="B48" s="2" t="s">
        <v>30</v>
      </c>
    </row>
    <row r="49" spans="2:2" x14ac:dyDescent="0.25">
      <c r="B49" t="s">
        <v>186</v>
      </c>
    </row>
    <row r="51" spans="2:2" x14ac:dyDescent="0.25">
      <c r="B51" s="2" t="s">
        <v>31</v>
      </c>
    </row>
    <row r="52" spans="2:2" x14ac:dyDescent="0.25">
      <c r="B52" t="s">
        <v>133</v>
      </c>
    </row>
    <row r="53" spans="2:2" x14ac:dyDescent="0.25">
      <c r="B53" t="s">
        <v>187</v>
      </c>
    </row>
    <row r="54" spans="2:2" x14ac:dyDescent="0.25">
      <c r="B54" t="s">
        <v>188</v>
      </c>
    </row>
    <row r="55" spans="2:2" x14ac:dyDescent="0.25">
      <c r="B55" t="s">
        <v>189</v>
      </c>
    </row>
    <row r="56" spans="2:2" x14ac:dyDescent="0.25">
      <c r="B56" t="s">
        <v>190</v>
      </c>
    </row>
    <row r="57" spans="2:2" x14ac:dyDescent="0.25">
      <c r="B57" t="s">
        <v>191</v>
      </c>
    </row>
    <row r="58" spans="2:2" x14ac:dyDescent="0.25">
      <c r="B58" t="s">
        <v>192</v>
      </c>
    </row>
    <row r="59" spans="2:2" x14ac:dyDescent="0.25">
      <c r="B59" t="s">
        <v>193</v>
      </c>
    </row>
  </sheetData>
  <printOptions gridLines="1"/>
  <pageMargins left="0.70866141732283472" right="0.70866141732283472" top="0.74803149606299213" bottom="0.74803149606299213" header="0.31496062992125984" footer="0.31496062992125984"/>
  <pageSetup paperSize="9" scale="61" orientation="portrait" r:id="rId1"/>
  <headerFooter>
    <oddHeader>&amp;A</oddHeader>
    <oddFooter>&amp;F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6F3B5-3E1B-4797-91F6-AE080DDB4D37}">
  <sheetPr>
    <pageSetUpPr fitToPage="1"/>
  </sheetPr>
  <dimension ref="A2:L47"/>
  <sheetViews>
    <sheetView workbookViewId="0"/>
  </sheetViews>
  <sheetFormatPr defaultRowHeight="15" x14ac:dyDescent="0.25"/>
  <cols>
    <col min="1" max="1" width="9.140625" style="1"/>
    <col min="2" max="2" width="42.28515625" bestFit="1" customWidth="1"/>
    <col min="3" max="3" width="12.28515625" bestFit="1" customWidth="1"/>
    <col min="8" max="8" width="23.85546875" customWidth="1"/>
    <col min="9" max="9" width="17.7109375" bestFit="1" customWidth="1"/>
    <col min="11" max="11" width="18.42578125" bestFit="1" customWidth="1"/>
  </cols>
  <sheetData>
    <row r="2" spans="2:3" x14ac:dyDescent="0.25">
      <c r="B2" s="2" t="s">
        <v>194</v>
      </c>
    </row>
    <row r="4" spans="2:3" x14ac:dyDescent="0.25">
      <c r="B4" s="2" t="s">
        <v>132</v>
      </c>
    </row>
    <row r="5" spans="2:3" x14ac:dyDescent="0.25">
      <c r="B5" s="9">
        <v>0</v>
      </c>
    </row>
    <row r="6" spans="2:3" x14ac:dyDescent="0.25">
      <c r="B6" t="s">
        <v>195</v>
      </c>
    </row>
    <row r="7" spans="2:3" x14ac:dyDescent="0.25">
      <c r="B7" t="s">
        <v>196</v>
      </c>
    </row>
    <row r="8" spans="2:3" x14ac:dyDescent="0.25">
      <c r="B8" s="3" t="s">
        <v>135</v>
      </c>
    </row>
    <row r="9" spans="2:3" x14ac:dyDescent="0.25">
      <c r="B9" s="3" t="s">
        <v>136</v>
      </c>
    </row>
    <row r="10" spans="2:3" x14ac:dyDescent="0.25">
      <c r="B10" s="3" t="s">
        <v>137</v>
      </c>
    </row>
    <row r="11" spans="2:3" x14ac:dyDescent="0.25">
      <c r="B11" s="3" t="s">
        <v>138</v>
      </c>
      <c r="C11" t="s">
        <v>140</v>
      </c>
    </row>
    <row r="12" spans="2:3" x14ac:dyDescent="0.25">
      <c r="B12" t="s">
        <v>142</v>
      </c>
      <c r="C12" t="s">
        <v>20</v>
      </c>
    </row>
    <row r="13" spans="2:3" x14ac:dyDescent="0.25">
      <c r="B13" t="s">
        <v>139</v>
      </c>
      <c r="C13" t="s">
        <v>141</v>
      </c>
    </row>
    <row r="14" spans="2:3" x14ac:dyDescent="0.25">
      <c r="B14" t="s">
        <v>146</v>
      </c>
      <c r="C14" t="s">
        <v>145</v>
      </c>
    </row>
    <row r="15" spans="2:3" x14ac:dyDescent="0.25">
      <c r="B15" t="s">
        <v>197</v>
      </c>
      <c r="C15" t="s">
        <v>198</v>
      </c>
    </row>
    <row r="16" spans="2:3" x14ac:dyDescent="0.25">
      <c r="B16" t="s">
        <v>199</v>
      </c>
      <c r="C16" t="s">
        <v>200</v>
      </c>
    </row>
    <row r="18" spans="1:5" x14ac:dyDescent="0.25">
      <c r="B18" s="2" t="s">
        <v>29</v>
      </c>
    </row>
    <row r="19" spans="1:5" x14ac:dyDescent="0.25">
      <c r="B19" t="s">
        <v>207</v>
      </c>
    </row>
    <row r="21" spans="1:5" x14ac:dyDescent="0.25">
      <c r="B21" s="2" t="s">
        <v>201</v>
      </c>
    </row>
    <row r="22" spans="1:5" x14ac:dyDescent="0.25">
      <c r="A22" s="1" t="s">
        <v>0</v>
      </c>
      <c r="B22" t="s">
        <v>202</v>
      </c>
    </row>
    <row r="23" spans="1:5" x14ac:dyDescent="0.25">
      <c r="A23" s="1" t="s">
        <v>2</v>
      </c>
      <c r="B23" t="s">
        <v>203</v>
      </c>
    </row>
    <row r="24" spans="1:5" x14ac:dyDescent="0.25">
      <c r="A24" s="1" t="s">
        <v>4</v>
      </c>
      <c r="B24" t="s">
        <v>204</v>
      </c>
    </row>
    <row r="25" spans="1:5" x14ac:dyDescent="0.25">
      <c r="A25" s="1" t="s">
        <v>6</v>
      </c>
      <c r="B25" t="s">
        <v>205</v>
      </c>
    </row>
    <row r="26" spans="1:5" x14ac:dyDescent="0.25">
      <c r="A26" s="1" t="s">
        <v>165</v>
      </c>
      <c r="B26" t="s">
        <v>206</v>
      </c>
    </row>
    <row r="28" spans="1:5" x14ac:dyDescent="0.25">
      <c r="B28" s="2" t="s">
        <v>31</v>
      </c>
    </row>
    <row r="29" spans="1:5" x14ac:dyDescent="0.25">
      <c r="A29" s="1" t="s">
        <v>0</v>
      </c>
      <c r="B29" t="s">
        <v>227</v>
      </c>
      <c r="E29" t="s">
        <v>228</v>
      </c>
    </row>
    <row r="30" spans="1:5" x14ac:dyDescent="0.25">
      <c r="A30" s="1" t="s">
        <v>2</v>
      </c>
      <c r="B30" t="s">
        <v>209</v>
      </c>
      <c r="E30" t="s">
        <v>219</v>
      </c>
    </row>
    <row r="31" spans="1:5" x14ac:dyDescent="0.25">
      <c r="A31" s="1" t="s">
        <v>4</v>
      </c>
      <c r="B31" t="s">
        <v>225</v>
      </c>
      <c r="E31" t="s">
        <v>222</v>
      </c>
    </row>
    <row r="32" spans="1:5" x14ac:dyDescent="0.25">
      <c r="A32" s="1" t="s">
        <v>6</v>
      </c>
      <c r="B32" t="s">
        <v>224</v>
      </c>
      <c r="E32" t="s">
        <v>226</v>
      </c>
    </row>
    <row r="33" spans="1:12" x14ac:dyDescent="0.25">
      <c r="A33" s="1" t="s">
        <v>165</v>
      </c>
      <c r="B33" t="s">
        <v>229</v>
      </c>
      <c r="E33" t="s">
        <v>230</v>
      </c>
    </row>
    <row r="34" spans="1:12" x14ac:dyDescent="0.25">
      <c r="A34" s="1" t="s">
        <v>168</v>
      </c>
      <c r="B34" t="s">
        <v>208</v>
      </c>
      <c r="E34" t="s">
        <v>220</v>
      </c>
    </row>
    <row r="36" spans="1:12" x14ac:dyDescent="0.25">
      <c r="B36" t="s">
        <v>221</v>
      </c>
      <c r="F36" t="s">
        <v>249</v>
      </c>
    </row>
    <row r="37" spans="1:12" x14ac:dyDescent="0.25">
      <c r="B37" t="s">
        <v>223</v>
      </c>
      <c r="C37">
        <f>9^3</f>
        <v>729</v>
      </c>
      <c r="D37">
        <f>1^3</f>
        <v>1</v>
      </c>
      <c r="F37" s="11" t="s">
        <v>250</v>
      </c>
    </row>
    <row r="38" spans="1:12" x14ac:dyDescent="0.25">
      <c r="C38">
        <f>10^3</f>
        <v>1000</v>
      </c>
      <c r="D38">
        <f>12^3</f>
        <v>1728</v>
      </c>
    </row>
    <row r="39" spans="1:12" x14ac:dyDescent="0.25">
      <c r="C39" s="10">
        <f>C37+C38</f>
        <v>1729</v>
      </c>
      <c r="D39" s="10">
        <f>D37+D38</f>
        <v>1729</v>
      </c>
    </row>
    <row r="41" spans="1:12" x14ac:dyDescent="0.25">
      <c r="B41" s="2" t="s">
        <v>232</v>
      </c>
      <c r="C41" s="2" t="s">
        <v>236</v>
      </c>
    </row>
    <row r="42" spans="1:12" x14ac:dyDescent="0.25">
      <c r="A42" s="1" t="s">
        <v>0</v>
      </c>
      <c r="B42" t="s">
        <v>231</v>
      </c>
      <c r="C42" s="8" t="s">
        <v>235</v>
      </c>
      <c r="E42" t="s">
        <v>234</v>
      </c>
      <c r="L42" t="s">
        <v>248</v>
      </c>
    </row>
    <row r="43" spans="1:12" x14ac:dyDescent="0.25">
      <c r="A43" s="1" t="s">
        <v>2</v>
      </c>
      <c r="B43" t="s">
        <v>233</v>
      </c>
      <c r="C43" s="8" t="s">
        <v>238</v>
      </c>
      <c r="E43" t="s">
        <v>237</v>
      </c>
    </row>
    <row r="44" spans="1:12" x14ac:dyDescent="0.25">
      <c r="A44" s="1" t="s">
        <v>4</v>
      </c>
      <c r="B44" t="s">
        <v>239</v>
      </c>
      <c r="C44" s="8" t="s">
        <v>235</v>
      </c>
      <c r="E44" t="s">
        <v>240</v>
      </c>
    </row>
    <row r="45" spans="1:12" x14ac:dyDescent="0.25">
      <c r="A45" s="1" t="s">
        <v>6</v>
      </c>
      <c r="B45" t="s">
        <v>241</v>
      </c>
      <c r="C45" s="8" t="s">
        <v>235</v>
      </c>
      <c r="E45" t="s">
        <v>242</v>
      </c>
      <c r="L45" t="s">
        <v>243</v>
      </c>
    </row>
    <row r="46" spans="1:12" x14ac:dyDescent="0.25">
      <c r="A46" s="1" t="s">
        <v>165</v>
      </c>
      <c r="B46" t="s">
        <v>244</v>
      </c>
      <c r="C46" s="8" t="s">
        <v>235</v>
      </c>
      <c r="E46" t="s">
        <v>245</v>
      </c>
    </row>
    <row r="47" spans="1:12" x14ac:dyDescent="0.25">
      <c r="A47" s="1" t="s">
        <v>168</v>
      </c>
      <c r="B47" t="s">
        <v>246</v>
      </c>
      <c r="C47" s="8" t="s">
        <v>238</v>
      </c>
      <c r="E47" t="s">
        <v>247</v>
      </c>
    </row>
  </sheetData>
  <hyperlinks>
    <hyperlink ref="F37" r:id="rId1" xr:uid="{96A9206D-29C5-46AB-9687-D467C6BA8DCF}"/>
  </hyperlinks>
  <printOptions gridLines="1"/>
  <pageMargins left="0.70866141732283472" right="0.70866141732283472" top="0.74803149606299213" bottom="0.74803149606299213" header="0.31496062992125984" footer="0.31496062992125984"/>
  <pageSetup paperSize="9" scale="47" orientation="landscape" r:id="rId2"/>
  <headerFooter>
    <oddHeader>&amp;A</oddHeader>
    <oddFooter>&amp;F</odd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2438-B17E-427A-9A47-2AF715D4245A}">
  <sheetPr>
    <pageSetUpPr fitToPage="1"/>
  </sheetPr>
  <dimension ref="A2:F34"/>
  <sheetViews>
    <sheetView workbookViewId="0"/>
  </sheetViews>
  <sheetFormatPr defaultRowHeight="15" x14ac:dyDescent="0.25"/>
  <cols>
    <col min="2" max="2" width="5.7109375" bestFit="1" customWidth="1"/>
    <col min="3" max="3" width="32.85546875" bestFit="1" customWidth="1"/>
    <col min="4" max="4" width="16.5703125" bestFit="1" customWidth="1"/>
    <col min="5" max="5" width="82" bestFit="1" customWidth="1"/>
    <col min="6" max="6" width="8" bestFit="1" customWidth="1"/>
    <col min="7" max="7" width="8.85546875" bestFit="1" customWidth="1"/>
    <col min="8" max="8" width="2.7109375" bestFit="1" customWidth="1"/>
    <col min="9" max="9" width="5.7109375" bestFit="1" customWidth="1"/>
  </cols>
  <sheetData>
    <row r="2" spans="1:5" x14ac:dyDescent="0.25">
      <c r="A2" s="1"/>
      <c r="C2" s="2" t="s">
        <v>132</v>
      </c>
      <c r="D2" s="2" t="s">
        <v>251</v>
      </c>
    </row>
    <row r="3" spans="1:5" x14ac:dyDescent="0.25">
      <c r="A3" s="1"/>
      <c r="C3" t="s">
        <v>210</v>
      </c>
      <c r="D3">
        <v>3</v>
      </c>
    </row>
    <row r="4" spans="1:5" x14ac:dyDescent="0.25">
      <c r="A4" s="1"/>
      <c r="C4" t="s">
        <v>211</v>
      </c>
      <c r="D4">
        <v>1</v>
      </c>
    </row>
    <row r="5" spans="1:5" x14ac:dyDescent="0.25">
      <c r="A5" s="1"/>
      <c r="C5" t="s">
        <v>212</v>
      </c>
      <c r="D5">
        <v>0</v>
      </c>
    </row>
    <row r="6" spans="1:5" x14ac:dyDescent="0.25">
      <c r="A6" s="1"/>
      <c r="C6" s="3"/>
    </row>
    <row r="7" spans="1:5" x14ac:dyDescent="0.25">
      <c r="C7" s="2" t="s">
        <v>29</v>
      </c>
      <c r="E7" s="2" t="s">
        <v>254</v>
      </c>
    </row>
    <row r="8" spans="1:5" x14ac:dyDescent="0.25">
      <c r="B8" s="1" t="s">
        <v>0</v>
      </c>
      <c r="C8" t="s">
        <v>1</v>
      </c>
      <c r="E8" t="s">
        <v>253</v>
      </c>
    </row>
    <row r="9" spans="1:5" x14ac:dyDescent="0.25">
      <c r="B9" s="1" t="s">
        <v>2</v>
      </c>
      <c r="C9" t="s">
        <v>3</v>
      </c>
      <c r="E9" t="s">
        <v>258</v>
      </c>
    </row>
    <row r="10" spans="1:5" x14ac:dyDescent="0.25">
      <c r="B10" s="1" t="s">
        <v>4</v>
      </c>
      <c r="C10" t="s">
        <v>5</v>
      </c>
      <c r="E10" t="s">
        <v>259</v>
      </c>
    </row>
    <row r="11" spans="1:5" x14ac:dyDescent="0.25">
      <c r="B11" s="1" t="s">
        <v>6</v>
      </c>
      <c r="C11" t="s">
        <v>7</v>
      </c>
      <c r="E11" t="s">
        <v>260</v>
      </c>
    </row>
    <row r="13" spans="1:5" x14ac:dyDescent="0.25">
      <c r="C13" s="2" t="s">
        <v>30</v>
      </c>
    </row>
    <row r="14" spans="1:5" x14ac:dyDescent="0.25">
      <c r="B14" s="1" t="s">
        <v>8</v>
      </c>
      <c r="C14" t="s">
        <v>9</v>
      </c>
      <c r="D14">
        <v>31</v>
      </c>
    </row>
    <row r="15" spans="1:5" x14ac:dyDescent="0.25">
      <c r="B15" s="1"/>
    </row>
    <row r="16" spans="1:5" x14ac:dyDescent="0.25">
      <c r="B16" s="1"/>
      <c r="C16" s="2" t="s">
        <v>31</v>
      </c>
    </row>
    <row r="17" spans="2:6" x14ac:dyDescent="0.25">
      <c r="B17">
        <v>2</v>
      </c>
      <c r="C17" t="s">
        <v>10</v>
      </c>
      <c r="D17">
        <v>311</v>
      </c>
      <c r="E17" t="s">
        <v>256</v>
      </c>
    </row>
    <row r="18" spans="2:6" x14ac:dyDescent="0.25">
      <c r="B18">
        <v>2</v>
      </c>
      <c r="C18" t="s">
        <v>11</v>
      </c>
      <c r="D18">
        <v>31111</v>
      </c>
      <c r="F18">
        <f>3*10^4+111*10+1</f>
        <v>31111</v>
      </c>
    </row>
    <row r="19" spans="2:6" x14ac:dyDescent="0.25">
      <c r="B19">
        <v>3</v>
      </c>
      <c r="C19" t="s">
        <v>12</v>
      </c>
      <c r="D19">
        <v>301</v>
      </c>
      <c r="E19" t="s">
        <v>257</v>
      </c>
    </row>
    <row r="20" spans="2:6" x14ac:dyDescent="0.25">
      <c r="B20">
        <v>1</v>
      </c>
      <c r="C20" t="s">
        <v>13</v>
      </c>
      <c r="D20">
        <v>3010</v>
      </c>
      <c r="E20" t="s">
        <v>255</v>
      </c>
    </row>
    <row r="21" spans="2:6" x14ac:dyDescent="0.25">
      <c r="B21">
        <v>2</v>
      </c>
      <c r="C21" t="s">
        <v>14</v>
      </c>
      <c r="D21">
        <v>3010010</v>
      </c>
    </row>
    <row r="22" spans="2:6" x14ac:dyDescent="0.25">
      <c r="B22">
        <v>4</v>
      </c>
      <c r="C22" t="s">
        <v>15</v>
      </c>
      <c r="D22">
        <v>30110</v>
      </c>
    </row>
    <row r="23" spans="2:6" x14ac:dyDescent="0.25">
      <c r="B23">
        <v>2</v>
      </c>
      <c r="C23" t="s">
        <v>16</v>
      </c>
      <c r="D23">
        <v>301100110</v>
      </c>
    </row>
    <row r="24" spans="2:6" x14ac:dyDescent="0.25">
      <c r="B24">
        <v>4</v>
      </c>
      <c r="C24" t="s">
        <v>17</v>
      </c>
      <c r="D24">
        <v>3011110</v>
      </c>
    </row>
    <row r="25" spans="2:6" x14ac:dyDescent="0.25">
      <c r="B25">
        <v>3</v>
      </c>
      <c r="C25" t="s">
        <v>19</v>
      </c>
      <c r="D25">
        <v>30100</v>
      </c>
      <c r="F25">
        <f>301*10^2+0</f>
        <v>30100</v>
      </c>
    </row>
    <row r="26" spans="2:6" x14ac:dyDescent="0.25">
      <c r="B26">
        <v>4</v>
      </c>
      <c r="C26" t="s">
        <v>12</v>
      </c>
      <c r="D26">
        <v>301</v>
      </c>
      <c r="E26" t="s">
        <v>261</v>
      </c>
    </row>
    <row r="30" spans="2:6" x14ac:dyDescent="0.25">
      <c r="C30" t="s">
        <v>26</v>
      </c>
      <c r="D30">
        <v>3111</v>
      </c>
      <c r="E30" s="4" t="s">
        <v>80</v>
      </c>
    </row>
    <row r="31" spans="2:6" x14ac:dyDescent="0.25">
      <c r="B31" s="1" t="s">
        <v>22</v>
      </c>
      <c r="C31" t="s">
        <v>23</v>
      </c>
      <c r="D31">
        <v>30</v>
      </c>
      <c r="E31" s="4" t="s">
        <v>80</v>
      </c>
    </row>
    <row r="33" spans="3:3" x14ac:dyDescent="0.25">
      <c r="C33" t="s">
        <v>252</v>
      </c>
    </row>
    <row r="34" spans="3:3" x14ac:dyDescent="0.25">
      <c r="C34" t="s">
        <v>32</v>
      </c>
    </row>
  </sheetData>
  <printOptions gridLines="1"/>
  <pageMargins left="0.70866141732283472" right="0.70866141732283472" top="0.74803149606299213" bottom="0.74803149606299213" header="0.31496062992125984" footer="0.31496062992125984"/>
  <pageSetup paperSize="9" scale="85" orientation="landscape" r:id="rId1"/>
  <headerFooter>
    <oddHeader>&amp;A</oddHeader>
    <oddFoote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FD03D-5AE4-4EB1-86E4-E785113BF9FD}">
  <sheetPr>
    <pageSetUpPr fitToPage="1"/>
  </sheetPr>
  <dimension ref="A2:W75"/>
  <sheetViews>
    <sheetView workbookViewId="0"/>
  </sheetViews>
  <sheetFormatPr defaultRowHeight="15" x14ac:dyDescent="0.25"/>
  <cols>
    <col min="1" max="1" width="9.140625" style="1"/>
    <col min="2" max="2" width="64" customWidth="1"/>
    <col min="3" max="3" width="28.5703125" bestFit="1" customWidth="1"/>
    <col min="4" max="4" width="9.7109375" bestFit="1" customWidth="1"/>
    <col min="6" max="6" width="5.85546875" bestFit="1" customWidth="1"/>
    <col min="7" max="22" width="4" bestFit="1" customWidth="1"/>
  </cols>
  <sheetData>
    <row r="2" spans="2:23" x14ac:dyDescent="0.25">
      <c r="B2" s="2" t="s">
        <v>271</v>
      </c>
      <c r="F2" t="s">
        <v>311</v>
      </c>
    </row>
    <row r="3" spans="2:23" x14ac:dyDescent="0.25">
      <c r="E3" s="1" t="s">
        <v>0</v>
      </c>
      <c r="F3">
        <v>626</v>
      </c>
      <c r="G3">
        <v>262</v>
      </c>
      <c r="H3">
        <v>636</v>
      </c>
      <c r="I3">
        <v>223</v>
      </c>
      <c r="J3">
        <v>123</v>
      </c>
      <c r="K3">
        <v>262</v>
      </c>
      <c r="L3">
        <v>111</v>
      </c>
      <c r="M3">
        <v>666</v>
      </c>
      <c r="N3">
        <v>611</v>
      </c>
      <c r="O3">
        <v>223</v>
      </c>
      <c r="P3">
        <v>123</v>
      </c>
      <c r="Q3">
        <v>666</v>
      </c>
      <c r="R3">
        <v>111</v>
      </c>
      <c r="S3">
        <v>666</v>
      </c>
    </row>
    <row r="4" spans="2:23" x14ac:dyDescent="0.25">
      <c r="B4" s="2" t="s">
        <v>132</v>
      </c>
      <c r="C4" s="2" t="s">
        <v>269</v>
      </c>
      <c r="E4" s="1"/>
      <c r="F4" s="8" t="str">
        <f>B20</f>
        <v>∀</v>
      </c>
      <c r="G4" s="8" t="str">
        <f>B7</f>
        <v>a</v>
      </c>
      <c r="H4" s="8" t="str">
        <f>B22</f>
        <v>:</v>
      </c>
      <c r="I4" s="8" t="str">
        <f>B18</f>
        <v>~</v>
      </c>
      <c r="J4" s="8" t="str">
        <f>B6</f>
        <v>S</v>
      </c>
      <c r="K4" s="8" t="str">
        <f>G4</f>
        <v>a</v>
      </c>
      <c r="L4" s="8" t="str">
        <f>B9</f>
        <v>=</v>
      </c>
      <c r="M4" s="8">
        <f>B5</f>
        <v>0</v>
      </c>
      <c r="N4" s="8" t="str">
        <f>B23</f>
        <v>,</v>
      </c>
      <c r="O4" s="8" t="str">
        <f>B18</f>
        <v>~</v>
      </c>
      <c r="P4" s="8" t="str">
        <f>J4</f>
        <v>S</v>
      </c>
      <c r="Q4" s="8">
        <f>M4</f>
        <v>0</v>
      </c>
      <c r="R4" s="8" t="str">
        <f>L4</f>
        <v>=</v>
      </c>
      <c r="S4" s="8">
        <f>Q4</f>
        <v>0</v>
      </c>
      <c r="W4" t="b">
        <v>1</v>
      </c>
    </row>
    <row r="5" spans="2:23" x14ac:dyDescent="0.25">
      <c r="B5" s="9">
        <v>0</v>
      </c>
      <c r="C5">
        <v>666</v>
      </c>
      <c r="E5" s="1"/>
    </row>
    <row r="6" spans="2:23" x14ac:dyDescent="0.25">
      <c r="B6" t="s">
        <v>262</v>
      </c>
      <c r="C6">
        <v>123</v>
      </c>
      <c r="E6" s="1"/>
      <c r="F6">
        <v>123</v>
      </c>
      <c r="G6">
        <v>666</v>
      </c>
      <c r="H6">
        <v>111</v>
      </c>
      <c r="I6">
        <v>666</v>
      </c>
    </row>
    <row r="7" spans="2:23" x14ac:dyDescent="0.25">
      <c r="B7" t="s">
        <v>267</v>
      </c>
      <c r="C7">
        <v>262</v>
      </c>
      <c r="E7" s="1"/>
      <c r="F7" s="8" t="str">
        <f>J4</f>
        <v>S</v>
      </c>
      <c r="G7" s="8">
        <f>Q4</f>
        <v>0</v>
      </c>
      <c r="H7" s="8" t="str">
        <f>R4</f>
        <v>=</v>
      </c>
      <c r="I7" s="8">
        <f>G7</f>
        <v>0</v>
      </c>
      <c r="W7" t="b">
        <v>0</v>
      </c>
    </row>
    <row r="8" spans="2:23" x14ac:dyDescent="0.25">
      <c r="B8" s="3" t="s">
        <v>135</v>
      </c>
      <c r="C8">
        <v>163</v>
      </c>
      <c r="E8" s="1"/>
    </row>
    <row r="9" spans="2:23" x14ac:dyDescent="0.25">
      <c r="B9" s="3" t="s">
        <v>263</v>
      </c>
      <c r="C9">
        <v>111</v>
      </c>
      <c r="E9" s="1" t="s">
        <v>2</v>
      </c>
      <c r="F9">
        <v>626</v>
      </c>
      <c r="G9">
        <v>262</v>
      </c>
      <c r="H9">
        <v>636</v>
      </c>
      <c r="I9">
        <v>223</v>
      </c>
      <c r="J9">
        <v>123</v>
      </c>
      <c r="K9">
        <v>262</v>
      </c>
      <c r="L9">
        <v>111</v>
      </c>
      <c r="M9">
        <v>666</v>
      </c>
      <c r="N9">
        <v>611</v>
      </c>
      <c r="O9">
        <v>223</v>
      </c>
      <c r="P9">
        <v>333</v>
      </c>
      <c r="Q9">
        <v>262</v>
      </c>
      <c r="R9">
        <v>636</v>
      </c>
      <c r="S9">
        <v>123</v>
      </c>
      <c r="T9">
        <v>262</v>
      </c>
      <c r="U9">
        <v>111</v>
      </c>
      <c r="V9">
        <v>666</v>
      </c>
    </row>
    <row r="10" spans="2:23" x14ac:dyDescent="0.25">
      <c r="B10" s="3" t="s">
        <v>91</v>
      </c>
      <c r="C10">
        <v>112</v>
      </c>
      <c r="F10" s="8" t="str">
        <f t="shared" ref="F10:O10" si="0">F4</f>
        <v>∀</v>
      </c>
      <c r="G10" s="8" t="str">
        <f t="shared" si="0"/>
        <v>a</v>
      </c>
      <c r="H10" s="8" t="str">
        <f t="shared" si="0"/>
        <v>:</v>
      </c>
      <c r="I10" s="8" t="str">
        <f t="shared" si="0"/>
        <v>~</v>
      </c>
      <c r="J10" s="8" t="str">
        <f t="shared" si="0"/>
        <v>S</v>
      </c>
      <c r="K10" s="8" t="str">
        <f t="shared" si="0"/>
        <v>a</v>
      </c>
      <c r="L10" s="8" t="str">
        <f t="shared" si="0"/>
        <v>=</v>
      </c>
      <c r="M10" s="8">
        <f t="shared" si="0"/>
        <v>0</v>
      </c>
      <c r="N10" s="8" t="str">
        <f t="shared" si="0"/>
        <v>,</v>
      </c>
      <c r="O10" s="8" t="str">
        <f t="shared" si="0"/>
        <v>~</v>
      </c>
      <c r="P10" s="8" t="str">
        <f>B21</f>
        <v>∃</v>
      </c>
      <c r="Q10" s="8" t="str">
        <f>G10</f>
        <v>a</v>
      </c>
      <c r="R10" s="8" t="str">
        <f>H10</f>
        <v>:</v>
      </c>
      <c r="S10" s="8" t="str">
        <f>J10</f>
        <v>S</v>
      </c>
      <c r="T10" s="8" t="str">
        <f>Q10</f>
        <v>a</v>
      </c>
      <c r="U10" s="8" t="str">
        <f>L10</f>
        <v>=</v>
      </c>
      <c r="V10" s="8">
        <f>M10</f>
        <v>0</v>
      </c>
      <c r="W10" t="b">
        <v>1</v>
      </c>
    </row>
    <row r="11" spans="2:23" x14ac:dyDescent="0.25">
      <c r="B11" s="3" t="s">
        <v>266</v>
      </c>
      <c r="C11">
        <v>236</v>
      </c>
    </row>
    <row r="12" spans="2:23" x14ac:dyDescent="0.25">
      <c r="B12" s="3" t="s">
        <v>264</v>
      </c>
      <c r="C12">
        <v>362</v>
      </c>
      <c r="F12">
        <v>223</v>
      </c>
      <c r="G12">
        <v>333</v>
      </c>
      <c r="H12">
        <v>262</v>
      </c>
      <c r="I12">
        <v>636</v>
      </c>
      <c r="J12">
        <v>123</v>
      </c>
      <c r="K12">
        <v>262</v>
      </c>
      <c r="L12">
        <v>111</v>
      </c>
      <c r="M12">
        <v>666</v>
      </c>
    </row>
    <row r="13" spans="2:23" x14ac:dyDescent="0.25">
      <c r="B13" s="3" t="s">
        <v>265</v>
      </c>
      <c r="C13">
        <v>323</v>
      </c>
      <c r="F13" s="8" t="str">
        <f>O10</f>
        <v>~</v>
      </c>
      <c r="G13" s="8" t="str">
        <f>P10</f>
        <v>∃</v>
      </c>
      <c r="H13" s="8" t="str">
        <f t="shared" ref="H13:M13" si="1">Q10</f>
        <v>a</v>
      </c>
      <c r="I13" s="8" t="str">
        <f t="shared" si="1"/>
        <v>:</v>
      </c>
      <c r="J13" s="8" t="str">
        <f t="shared" si="1"/>
        <v>S</v>
      </c>
      <c r="K13" s="8" t="str">
        <f t="shared" si="1"/>
        <v>a</v>
      </c>
      <c r="L13" s="8" t="str">
        <f t="shared" si="1"/>
        <v>=</v>
      </c>
      <c r="M13" s="8">
        <f t="shared" si="1"/>
        <v>0</v>
      </c>
      <c r="W13" t="b">
        <v>1</v>
      </c>
    </row>
    <row r="14" spans="2:23" x14ac:dyDescent="0.25">
      <c r="B14" s="3" t="s">
        <v>136</v>
      </c>
      <c r="C14">
        <v>212</v>
      </c>
    </row>
    <row r="15" spans="2:23" x14ac:dyDescent="0.25">
      <c r="B15" s="3" t="s">
        <v>137</v>
      </c>
      <c r="C15">
        <v>213</v>
      </c>
    </row>
    <row r="16" spans="2:23" x14ac:dyDescent="0.25">
      <c r="B16" s="3" t="s">
        <v>138</v>
      </c>
      <c r="C16">
        <v>161</v>
      </c>
      <c r="D16" t="s">
        <v>140</v>
      </c>
    </row>
    <row r="17" spans="1:23" x14ac:dyDescent="0.25">
      <c r="B17" t="s">
        <v>142</v>
      </c>
      <c r="C17">
        <v>616</v>
      </c>
      <c r="D17" t="s">
        <v>20</v>
      </c>
    </row>
    <row r="18" spans="1:23" x14ac:dyDescent="0.25">
      <c r="B18" t="s">
        <v>139</v>
      </c>
      <c r="C18">
        <v>223</v>
      </c>
      <c r="D18" t="s">
        <v>141</v>
      </c>
    </row>
    <row r="19" spans="1:23" x14ac:dyDescent="0.25">
      <c r="B19" t="s">
        <v>146</v>
      </c>
      <c r="C19">
        <v>633</v>
      </c>
      <c r="D19" t="s">
        <v>145</v>
      </c>
    </row>
    <row r="20" spans="1:23" x14ac:dyDescent="0.25">
      <c r="B20" t="s">
        <v>197</v>
      </c>
      <c r="C20">
        <v>626</v>
      </c>
      <c r="D20" t="s">
        <v>198</v>
      </c>
    </row>
    <row r="21" spans="1:23" x14ac:dyDescent="0.25">
      <c r="B21" t="s">
        <v>199</v>
      </c>
      <c r="C21">
        <v>333</v>
      </c>
      <c r="D21" t="s">
        <v>200</v>
      </c>
    </row>
    <row r="22" spans="1:23" x14ac:dyDescent="0.25">
      <c r="B22" s="3" t="s">
        <v>268</v>
      </c>
      <c r="C22">
        <v>636</v>
      </c>
    </row>
    <row r="23" spans="1:23" x14ac:dyDescent="0.25">
      <c r="B23" s="3" t="s">
        <v>301</v>
      </c>
      <c r="C23">
        <v>611</v>
      </c>
      <c r="F23" t="s">
        <v>312</v>
      </c>
    </row>
    <row r="24" spans="1:23" x14ac:dyDescent="0.25">
      <c r="E24" s="1" t="s">
        <v>0</v>
      </c>
      <c r="F24">
        <v>362</v>
      </c>
      <c r="G24">
        <v>262</v>
      </c>
      <c r="H24">
        <v>112</v>
      </c>
      <c r="I24">
        <v>262</v>
      </c>
      <c r="J24">
        <v>163</v>
      </c>
      <c r="K24">
        <v>323</v>
      </c>
      <c r="L24">
        <v>111</v>
      </c>
      <c r="M24">
        <v>123</v>
      </c>
      <c r="N24">
        <v>123</v>
      </c>
      <c r="O24">
        <v>123</v>
      </c>
      <c r="P24">
        <v>123</v>
      </c>
      <c r="Q24">
        <v>666</v>
      </c>
    </row>
    <row r="25" spans="1:23" x14ac:dyDescent="0.25">
      <c r="B25" s="2" t="s">
        <v>29</v>
      </c>
      <c r="E25" s="1"/>
      <c r="F25" s="8" t="str">
        <f>B12</f>
        <v>(</v>
      </c>
      <c r="G25" s="8" t="str">
        <f>B7</f>
        <v>a</v>
      </c>
      <c r="H25" s="8" t="str">
        <f>B10</f>
        <v>+</v>
      </c>
      <c r="I25" s="8" t="str">
        <f>B7</f>
        <v>a</v>
      </c>
      <c r="J25" s="8" t="str">
        <f>B8</f>
        <v>'</v>
      </c>
      <c r="K25" s="8" t="str">
        <f>B13</f>
        <v>)</v>
      </c>
      <c r="L25" s="8" t="str">
        <f>B9</f>
        <v>=</v>
      </c>
      <c r="M25" s="8" t="str">
        <f>B6</f>
        <v>S</v>
      </c>
      <c r="N25" s="8" t="str">
        <f>M25</f>
        <v>S</v>
      </c>
      <c r="O25" s="8" t="str">
        <f t="shared" ref="O25:P25" si="2">N25</f>
        <v>S</v>
      </c>
      <c r="P25" s="8" t="str">
        <f t="shared" si="2"/>
        <v>S</v>
      </c>
      <c r="Q25" s="8">
        <f>B5</f>
        <v>0</v>
      </c>
    </row>
    <row r="26" spans="1:23" x14ac:dyDescent="0.25">
      <c r="B26" t="s">
        <v>207</v>
      </c>
      <c r="E26" s="1"/>
    </row>
    <row r="27" spans="1:23" x14ac:dyDescent="0.25">
      <c r="E27" s="1"/>
      <c r="F27" t="s">
        <v>303</v>
      </c>
    </row>
    <row r="28" spans="1:23" x14ac:dyDescent="0.25">
      <c r="B28" s="2" t="s">
        <v>201</v>
      </c>
      <c r="E28" s="1"/>
    </row>
    <row r="29" spans="1:23" x14ac:dyDescent="0.25">
      <c r="A29" s="1" t="s">
        <v>0</v>
      </c>
      <c r="B29" t="s">
        <v>202</v>
      </c>
      <c r="C29" t="s">
        <v>270</v>
      </c>
      <c r="E29" s="1"/>
      <c r="F29">
        <v>362</v>
      </c>
      <c r="G29">
        <v>123</v>
      </c>
      <c r="H29">
        <v>123</v>
      </c>
      <c r="I29">
        <v>666</v>
      </c>
      <c r="J29">
        <v>112</v>
      </c>
      <c r="K29">
        <v>123</v>
      </c>
      <c r="L29">
        <v>123</v>
      </c>
      <c r="M29">
        <v>666</v>
      </c>
      <c r="N29">
        <v>323</v>
      </c>
      <c r="O29">
        <v>111</v>
      </c>
      <c r="P29">
        <v>123</v>
      </c>
      <c r="Q29">
        <v>123</v>
      </c>
      <c r="R29">
        <v>123</v>
      </c>
      <c r="S29">
        <v>123</v>
      </c>
      <c r="T29">
        <v>666</v>
      </c>
    </row>
    <row r="30" spans="1:23" x14ac:dyDescent="0.25">
      <c r="A30" s="1" t="s">
        <v>2</v>
      </c>
      <c r="B30" t="s">
        <v>203</v>
      </c>
      <c r="E30" s="1"/>
      <c r="F30" s="8" t="str">
        <f>F25</f>
        <v>(</v>
      </c>
      <c r="G30" s="8" t="str">
        <f>B6</f>
        <v>S</v>
      </c>
      <c r="H30" s="8" t="str">
        <f>G30</f>
        <v>S</v>
      </c>
      <c r="I30" s="8">
        <f>B5</f>
        <v>0</v>
      </c>
      <c r="J30" s="8" t="str">
        <f>H25</f>
        <v>+</v>
      </c>
      <c r="K30" s="8" t="str">
        <f>G30</f>
        <v>S</v>
      </c>
      <c r="L30" s="8" t="str">
        <f>K30</f>
        <v>S</v>
      </c>
      <c r="M30" s="8">
        <f>I30</f>
        <v>0</v>
      </c>
      <c r="N30" s="8" t="str">
        <f>K25</f>
        <v>)</v>
      </c>
      <c r="O30" s="8" t="str">
        <f>L25</f>
        <v>=</v>
      </c>
      <c r="P30" s="8" t="str">
        <f t="shared" ref="P30:T30" si="3">M25</f>
        <v>S</v>
      </c>
      <c r="Q30" s="8" t="str">
        <f t="shared" si="3"/>
        <v>S</v>
      </c>
      <c r="R30" s="8" t="str">
        <f t="shared" si="3"/>
        <v>S</v>
      </c>
      <c r="S30" s="8" t="str">
        <f t="shared" si="3"/>
        <v>S</v>
      </c>
      <c r="T30" s="8">
        <f t="shared" si="3"/>
        <v>0</v>
      </c>
      <c r="W30" t="b">
        <v>1</v>
      </c>
    </row>
    <row r="31" spans="1:23" x14ac:dyDescent="0.25">
      <c r="A31" s="1" t="s">
        <v>4</v>
      </c>
      <c r="B31" t="s">
        <v>204</v>
      </c>
      <c r="E31" s="1"/>
    </row>
    <row r="32" spans="1:23" x14ac:dyDescent="0.25">
      <c r="A32" s="1" t="s">
        <v>6</v>
      </c>
      <c r="B32" t="s">
        <v>205</v>
      </c>
      <c r="E32" s="1" t="s">
        <v>2</v>
      </c>
      <c r="F32">
        <v>223</v>
      </c>
      <c r="G32">
        <v>362</v>
      </c>
      <c r="H32">
        <v>262</v>
      </c>
      <c r="I32">
        <v>236</v>
      </c>
      <c r="J32">
        <v>262</v>
      </c>
      <c r="K32">
        <v>323</v>
      </c>
      <c r="L32">
        <v>111</v>
      </c>
      <c r="M32">
        <v>262</v>
      </c>
      <c r="N32">
        <v>163</v>
      </c>
    </row>
    <row r="33" spans="1:23" x14ac:dyDescent="0.25">
      <c r="A33" s="1" t="s">
        <v>165</v>
      </c>
      <c r="B33" t="s">
        <v>206</v>
      </c>
      <c r="F33" s="8" t="str">
        <f>B18</f>
        <v>~</v>
      </c>
      <c r="G33" s="8" t="str">
        <f>B12</f>
        <v>(</v>
      </c>
      <c r="H33" s="8" t="str">
        <f>B7</f>
        <v>a</v>
      </c>
      <c r="I33" s="8" t="str">
        <f>B11</f>
        <v>.</v>
      </c>
      <c r="J33" s="8" t="str">
        <f>H33</f>
        <v>a</v>
      </c>
      <c r="K33" s="8" t="str">
        <f>K25</f>
        <v>)</v>
      </c>
      <c r="L33" s="8" t="str">
        <f>O30</f>
        <v>=</v>
      </c>
      <c r="M33" s="8" t="str">
        <f>H33</f>
        <v>a</v>
      </c>
      <c r="N33" s="8" t="str">
        <f>J25</f>
        <v>'</v>
      </c>
    </row>
    <row r="35" spans="1:23" x14ac:dyDescent="0.25">
      <c r="F35" t="s">
        <v>302</v>
      </c>
    </row>
    <row r="37" spans="1:23" x14ac:dyDescent="0.25">
      <c r="F37">
        <v>223</v>
      </c>
      <c r="G37">
        <v>362</v>
      </c>
      <c r="H37">
        <v>123</v>
      </c>
      <c r="I37">
        <v>666</v>
      </c>
      <c r="J37">
        <v>236</v>
      </c>
      <c r="K37">
        <v>123</v>
      </c>
      <c r="L37">
        <v>666</v>
      </c>
      <c r="M37">
        <v>323</v>
      </c>
      <c r="N37">
        <v>111</v>
      </c>
      <c r="O37">
        <v>262</v>
      </c>
      <c r="P37">
        <v>163</v>
      </c>
    </row>
    <row r="38" spans="1:23" x14ac:dyDescent="0.25">
      <c r="F38" s="8" t="str">
        <f>F33</f>
        <v>~</v>
      </c>
      <c r="G38" s="8" t="str">
        <f>G33</f>
        <v>(</v>
      </c>
      <c r="H38" s="8" t="str">
        <f>H30</f>
        <v>S</v>
      </c>
      <c r="I38" s="8">
        <f>I30</f>
        <v>0</v>
      </c>
      <c r="J38" s="8" t="str">
        <f>I33</f>
        <v>.</v>
      </c>
      <c r="K38" s="8" t="str">
        <f>H38</f>
        <v>S</v>
      </c>
      <c r="L38" s="8">
        <f>I38</f>
        <v>0</v>
      </c>
      <c r="M38" s="8" t="str">
        <f>K33</f>
        <v>)</v>
      </c>
      <c r="N38" s="8" t="str">
        <f>L33</f>
        <v>=</v>
      </c>
      <c r="O38" s="8" t="str">
        <f>M33</f>
        <v>a</v>
      </c>
      <c r="P38" s="8" t="str">
        <f>N33</f>
        <v>'</v>
      </c>
      <c r="W38" t="b">
        <v>0</v>
      </c>
    </row>
    <row r="39" spans="1:23" x14ac:dyDescent="0.25">
      <c r="B39" s="2" t="s">
        <v>31</v>
      </c>
    </row>
    <row r="40" spans="1:23" x14ac:dyDescent="0.25">
      <c r="A40" s="1" t="s">
        <v>0</v>
      </c>
      <c r="B40" t="s">
        <v>227</v>
      </c>
      <c r="E40" t="s">
        <v>228</v>
      </c>
    </row>
    <row r="41" spans="1:23" x14ac:dyDescent="0.25">
      <c r="A41" s="1" t="s">
        <v>2</v>
      </c>
      <c r="B41" t="s">
        <v>209</v>
      </c>
      <c r="E41" t="s">
        <v>219</v>
      </c>
    </row>
    <row r="42" spans="1:23" x14ac:dyDescent="0.25">
      <c r="A42" s="1" t="s">
        <v>4</v>
      </c>
      <c r="B42" t="s">
        <v>225</v>
      </c>
      <c r="E42" t="s">
        <v>222</v>
      </c>
    </row>
    <row r="43" spans="1:23" x14ac:dyDescent="0.25">
      <c r="A43" s="1" t="s">
        <v>6</v>
      </c>
      <c r="B43" t="s">
        <v>224</v>
      </c>
      <c r="E43" t="s">
        <v>226</v>
      </c>
    </row>
    <row r="44" spans="1:23" x14ac:dyDescent="0.25">
      <c r="A44" s="1" t="s">
        <v>165</v>
      </c>
      <c r="B44" t="s">
        <v>229</v>
      </c>
      <c r="E44" t="s">
        <v>230</v>
      </c>
    </row>
    <row r="45" spans="1:23" x14ac:dyDescent="0.25">
      <c r="A45" s="1" t="s">
        <v>168</v>
      </c>
      <c r="B45" t="s">
        <v>208</v>
      </c>
      <c r="E45" t="s">
        <v>220</v>
      </c>
    </row>
    <row r="47" spans="1:23" x14ac:dyDescent="0.25">
      <c r="B47" t="s">
        <v>272</v>
      </c>
    </row>
    <row r="48" spans="1:23" x14ac:dyDescent="0.25">
      <c r="B48" t="s">
        <v>274</v>
      </c>
      <c r="C48" t="s">
        <v>273</v>
      </c>
      <c r="D48" t="b">
        <v>0</v>
      </c>
    </row>
    <row r="49" spans="2:5" x14ac:dyDescent="0.25">
      <c r="B49" t="str">
        <f>C29</f>
        <v>626 262 636 223 123 262 111 666</v>
      </c>
      <c r="C49" t="str">
        <f>B29</f>
        <v>∀a: ~Sa = 0</v>
      </c>
      <c r="D49" t="b">
        <v>1</v>
      </c>
    </row>
    <row r="51" spans="2:5" x14ac:dyDescent="0.25">
      <c r="B51" s="2" t="s">
        <v>305</v>
      </c>
    </row>
    <row r="52" spans="2:5" x14ac:dyDescent="0.25">
      <c r="B52" t="s">
        <v>304</v>
      </c>
      <c r="C52" t="s">
        <v>309</v>
      </c>
    </row>
    <row r="54" spans="2:5" x14ac:dyDescent="0.25">
      <c r="B54" t="s">
        <v>306</v>
      </c>
    </row>
    <row r="55" spans="2:5" x14ac:dyDescent="0.25">
      <c r="B55" t="s">
        <v>307</v>
      </c>
      <c r="C55" t="s">
        <v>309</v>
      </c>
      <c r="D55" t="b">
        <v>0</v>
      </c>
      <c r="E55" s="4" t="s">
        <v>80</v>
      </c>
    </row>
    <row r="56" spans="2:5" x14ac:dyDescent="0.25">
      <c r="C56" t="s">
        <v>308</v>
      </c>
      <c r="D56" t="b">
        <v>1</v>
      </c>
      <c r="E56" s="4" t="s">
        <v>80</v>
      </c>
    </row>
    <row r="58" spans="2:5" x14ac:dyDescent="0.25">
      <c r="B58" s="2" t="s">
        <v>310</v>
      </c>
    </row>
    <row r="59" spans="2:5" x14ac:dyDescent="0.25">
      <c r="B59" t="s">
        <v>313</v>
      </c>
      <c r="C59" s="5"/>
      <c r="D59" s="4" t="s">
        <v>323</v>
      </c>
    </row>
    <row r="60" spans="2:5" x14ac:dyDescent="0.25">
      <c r="B60" t="s">
        <v>314</v>
      </c>
      <c r="C60" s="3" t="s">
        <v>315</v>
      </c>
    </row>
    <row r="62" spans="2:5" x14ac:dyDescent="0.25">
      <c r="B62" s="2" t="s">
        <v>316</v>
      </c>
    </row>
    <row r="63" spans="2:5" x14ac:dyDescent="0.25">
      <c r="B63" t="s">
        <v>318</v>
      </c>
      <c r="C63" t="s">
        <v>317</v>
      </c>
    </row>
    <row r="65" spans="2:6" x14ac:dyDescent="0.25">
      <c r="B65" s="2" t="s">
        <v>319</v>
      </c>
      <c r="F65" s="2" t="s">
        <v>322</v>
      </c>
    </row>
    <row r="66" spans="2:6" x14ac:dyDescent="0.25">
      <c r="B66" s="3" t="s">
        <v>320</v>
      </c>
      <c r="F66" s="3" t="s">
        <v>324</v>
      </c>
    </row>
    <row r="67" spans="2:6" x14ac:dyDescent="0.25">
      <c r="B67" s="3" t="s">
        <v>321</v>
      </c>
      <c r="F67" s="3" t="s">
        <v>325</v>
      </c>
    </row>
    <row r="69" spans="2:6" x14ac:dyDescent="0.25">
      <c r="B69" t="s">
        <v>275</v>
      </c>
    </row>
    <row r="70" spans="2:6" x14ac:dyDescent="0.25">
      <c r="B70" t="s">
        <v>276</v>
      </c>
      <c r="C70" t="s">
        <v>278</v>
      </c>
      <c r="D70" s="12" t="s">
        <v>80</v>
      </c>
    </row>
    <row r="71" spans="2:6" x14ac:dyDescent="0.25">
      <c r="B71" t="s">
        <v>277</v>
      </c>
      <c r="C71" t="s">
        <v>278</v>
      </c>
      <c r="D71" s="12" t="s">
        <v>80</v>
      </c>
    </row>
    <row r="73" spans="2:6" x14ac:dyDescent="0.25">
      <c r="B73" t="s">
        <v>326</v>
      </c>
      <c r="F73" t="s">
        <v>327</v>
      </c>
    </row>
    <row r="75" spans="2:6" x14ac:dyDescent="0.25">
      <c r="B75" s="11" t="s">
        <v>279</v>
      </c>
    </row>
  </sheetData>
  <hyperlinks>
    <hyperlink ref="B75" r:id="rId1" xr:uid="{87FEEFE0-4F22-453C-8443-C5174B59021B}"/>
  </hyperlinks>
  <printOptions gridLines="1"/>
  <pageMargins left="0.70866141732283472" right="0.70866141732283472" top="0.74803149606299213" bottom="0.74803149606299213" header="0.31496062992125984" footer="0.31496062992125984"/>
  <pageSetup paperSize="9" scale="41" orientation="landscape" r:id="rId2"/>
  <headerFooter>
    <oddHeader>&amp;A</oddHeader>
    <oddFooter>&amp;F</oddFooter>
  </headerFooter>
  <ignoredErrors>
    <ignoredError sqref="T10 Q4 L30" formula="1"/>
  </ignoredErrors>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4CED8-151D-48E8-B5E3-1E1913DB9EA8}">
  <sheetPr>
    <pageSetUpPr fitToPage="1"/>
  </sheetPr>
  <dimension ref="B2"/>
  <sheetViews>
    <sheetView workbookViewId="0"/>
  </sheetViews>
  <sheetFormatPr defaultRowHeight="15" x14ac:dyDescent="0.25"/>
  <sheetData>
    <row r="2" spans="2:2" x14ac:dyDescent="0.25">
      <c r="B2" s="11" t="s">
        <v>287</v>
      </c>
    </row>
  </sheetData>
  <hyperlinks>
    <hyperlink ref="B2" r:id="rId1" xr:uid="{5B4AFEDB-2142-4727-B6CA-C83BA2A69913}"/>
  </hyperlinks>
  <printOptions gridLines="1"/>
  <pageMargins left="0.70866141732283472" right="0.70866141732283472" top="0.74803149606299213" bottom="0.74803149606299213" header="0.31496062992125984" footer="0.31496062992125984"/>
  <pageSetup paperSize="9" orientation="portrait" r:id="rId2"/>
  <headerFooter>
    <oddHeader>&amp;A</oddHeader>
    <oddFooter>&amp;F</oddFooter>
  </headerFooter>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7E253-6351-4434-86E8-CB29B0DDCA4D}">
  <sheetPr>
    <pageSetUpPr fitToPage="1"/>
  </sheetPr>
  <dimension ref="B2:D8"/>
  <sheetViews>
    <sheetView workbookViewId="0"/>
  </sheetViews>
  <sheetFormatPr defaultRowHeight="15" x14ac:dyDescent="0.25"/>
  <cols>
    <col min="3" max="3" width="19.85546875" bestFit="1" customWidth="1"/>
  </cols>
  <sheetData>
    <row r="2" spans="2:4" x14ac:dyDescent="0.25">
      <c r="B2" s="6" t="s">
        <v>289</v>
      </c>
      <c r="C2" s="13">
        <f>PI()</f>
        <v>3.1415926535897931</v>
      </c>
    </row>
    <row r="3" spans="2:4" x14ac:dyDescent="0.25">
      <c r="B3" s="6" t="s">
        <v>290</v>
      </c>
      <c r="C3" s="14">
        <f>C2/4</f>
        <v>0.78539816339744828</v>
      </c>
    </row>
    <row r="5" spans="2:4" x14ac:dyDescent="0.25">
      <c r="C5" s="14">
        <f>1-1/3+1/5-1/7+1/9-1/11+1/13-1/15+1/17-1/19+1/21-1/23+1/25-1/27</f>
        <v>0.76756365444479635</v>
      </c>
      <c r="D5" s="3" t="s">
        <v>291</v>
      </c>
    </row>
    <row r="7" spans="2:4" x14ac:dyDescent="0.25">
      <c r="B7">
        <f>2^3^2</f>
        <v>64</v>
      </c>
    </row>
    <row r="8" spans="2:4" x14ac:dyDescent="0.25">
      <c r="B8">
        <f>2^(3^2)</f>
        <v>512</v>
      </c>
    </row>
  </sheetData>
  <printOptions gridLines="1"/>
  <pageMargins left="0.70866141732283472" right="0.70866141732283472" top="0.74803149606299213" bottom="0.74803149606299213" header="0.31496062992125984" footer="0.31496062992125984"/>
  <pageSetup paperSize="9" scale="90" orientation="landscape" r:id="rId1"/>
  <headerFooter>
    <oddHeader>&amp;A</oddHeader>
    <oddFooter>&amp;F</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33C2-FC6F-4F10-A6C9-7D4ABB13E952}">
  <sheetPr>
    <pageSetUpPr fitToPage="1"/>
  </sheetPr>
  <dimension ref="B2:D32"/>
  <sheetViews>
    <sheetView workbookViewId="0"/>
  </sheetViews>
  <sheetFormatPr defaultRowHeight="15" x14ac:dyDescent="0.25"/>
  <cols>
    <col min="3" max="3" width="19.85546875" bestFit="1" customWidth="1"/>
  </cols>
  <sheetData>
    <row r="2" spans="2:4" x14ac:dyDescent="0.25">
      <c r="B2" s="6"/>
      <c r="C2" s="15" t="s">
        <v>294</v>
      </c>
      <c r="D2" s="16" t="s">
        <v>296</v>
      </c>
    </row>
    <row r="3" spans="2:4" x14ac:dyDescent="0.25">
      <c r="B3" s="6"/>
      <c r="C3" s="15" t="s">
        <v>297</v>
      </c>
      <c r="D3" s="16" t="s">
        <v>298</v>
      </c>
    </row>
    <row r="4" spans="2:4" x14ac:dyDescent="0.25">
      <c r="B4" s="6"/>
      <c r="C4" s="15" t="s">
        <v>299</v>
      </c>
      <c r="D4" s="16" t="s">
        <v>300</v>
      </c>
    </row>
    <row r="5" spans="2:4" x14ac:dyDescent="0.25">
      <c r="C5" s="14"/>
    </row>
    <row r="7" spans="2:4" x14ac:dyDescent="0.25">
      <c r="C7" s="14"/>
      <c r="D7" s="3"/>
    </row>
    <row r="25" spans="2:3" x14ac:dyDescent="0.25">
      <c r="B25">
        <f>2^(3^2)</f>
        <v>512</v>
      </c>
    </row>
    <row r="27" spans="2:3" x14ac:dyDescent="0.25">
      <c r="B27">
        <f>2^3^2</f>
        <v>64</v>
      </c>
    </row>
    <row r="31" spans="2:3" x14ac:dyDescent="0.25">
      <c r="C31" t="s">
        <v>293</v>
      </c>
    </row>
    <row r="32" spans="2:3" x14ac:dyDescent="0.25">
      <c r="C32" s="11" t="s">
        <v>292</v>
      </c>
    </row>
  </sheetData>
  <hyperlinks>
    <hyperlink ref="C32" r:id="rId1" xr:uid="{715E409D-F8F1-45B5-A6AE-95F984037459}"/>
  </hyperlinks>
  <printOptions gridLines="1"/>
  <pageMargins left="0.70866141732283472" right="0.70866141732283472" top="0.74803149606299213" bottom="0.74803149606299213" header="0.31496062992125984" footer="0.31496062992125984"/>
  <pageSetup paperSize="9" scale="99" orientation="landscape" r:id="rId2"/>
  <headerFooter>
    <oddHeader>&amp;A</oddHeader>
    <oddFooter>&amp;F</odd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FD895-3D45-4A8D-809E-4A6BBB963816}">
  <sheetPr>
    <pageSetUpPr fitToPage="1"/>
  </sheetPr>
  <dimension ref="A2:U54"/>
  <sheetViews>
    <sheetView workbookViewId="0"/>
  </sheetViews>
  <sheetFormatPr defaultRowHeight="15" x14ac:dyDescent="0.25"/>
  <cols>
    <col min="2" max="2" width="5.7109375" bestFit="1" customWidth="1"/>
    <col min="3" max="3" width="34.28515625" bestFit="1" customWidth="1"/>
    <col min="4" max="4" width="2.7109375" bestFit="1" customWidth="1"/>
    <col min="5" max="5" width="7" bestFit="1" customWidth="1"/>
    <col min="6" max="6" width="4.5703125" customWidth="1"/>
    <col min="7" max="7" width="12.28515625" customWidth="1"/>
    <col min="8" max="8" width="11.7109375" bestFit="1" customWidth="1"/>
    <col min="9" max="9" width="11.85546875" bestFit="1" customWidth="1"/>
  </cols>
  <sheetData>
    <row r="2" spans="1:21" x14ac:dyDescent="0.25">
      <c r="A2" s="1"/>
      <c r="C2" s="2" t="s">
        <v>349</v>
      </c>
      <c r="E2" s="11" t="s">
        <v>347</v>
      </c>
      <c r="G2" s="11" t="s">
        <v>348</v>
      </c>
    </row>
    <row r="3" spans="1:21" x14ac:dyDescent="0.25">
      <c r="A3" s="1"/>
      <c r="C3" s="11" t="s">
        <v>328</v>
      </c>
      <c r="E3" s="8" t="s">
        <v>328</v>
      </c>
      <c r="F3" t="s">
        <v>140</v>
      </c>
      <c r="G3" s="8" t="s">
        <v>235</v>
      </c>
      <c r="H3" s="3"/>
    </row>
    <row r="4" spans="1:21" x14ac:dyDescent="0.25">
      <c r="A4" s="1"/>
      <c r="C4" s="11" t="s">
        <v>329</v>
      </c>
      <c r="E4" s="8"/>
      <c r="G4" s="8"/>
    </row>
    <row r="5" spans="1:21" x14ac:dyDescent="0.25">
      <c r="A5" s="1"/>
      <c r="C5" s="11" t="s">
        <v>330</v>
      </c>
      <c r="E5" s="8" t="s">
        <v>330</v>
      </c>
      <c r="F5" t="s">
        <v>140</v>
      </c>
      <c r="G5" s="8" t="s">
        <v>329</v>
      </c>
      <c r="H5" s="3"/>
    </row>
    <row r="6" spans="1:21" x14ac:dyDescent="0.25">
      <c r="A6" s="1"/>
      <c r="C6" s="11" t="s">
        <v>235</v>
      </c>
    </row>
    <row r="7" spans="1:21" x14ac:dyDescent="0.25">
      <c r="A7" s="1"/>
      <c r="C7" s="3"/>
    </row>
    <row r="8" spans="1:21" x14ac:dyDescent="0.25">
      <c r="C8" s="11" t="s">
        <v>350</v>
      </c>
      <c r="G8" s="2" t="s">
        <v>351</v>
      </c>
      <c r="M8" s="2" t="s">
        <v>395</v>
      </c>
    </row>
    <row r="9" spans="1:21" x14ac:dyDescent="0.25">
      <c r="B9" s="1">
        <v>1</v>
      </c>
      <c r="C9" t="s">
        <v>332</v>
      </c>
    </row>
    <row r="10" spans="1:21" x14ac:dyDescent="0.25">
      <c r="B10" s="1">
        <v>2</v>
      </c>
      <c r="C10" t="s">
        <v>333</v>
      </c>
      <c r="G10" s="19"/>
      <c r="H10" s="17" t="s">
        <v>328</v>
      </c>
      <c r="I10" s="17" t="s">
        <v>329</v>
      </c>
      <c r="J10" s="17" t="s">
        <v>330</v>
      </c>
      <c r="K10" s="17" t="s">
        <v>235</v>
      </c>
      <c r="M10" t="s">
        <v>397</v>
      </c>
    </row>
    <row r="11" spans="1:21" ht="30" x14ac:dyDescent="0.25">
      <c r="B11" s="1">
        <v>3</v>
      </c>
      <c r="C11" t="s">
        <v>334</v>
      </c>
      <c r="G11" s="17" t="s">
        <v>328</v>
      </c>
      <c r="H11" s="18"/>
      <c r="I11" s="18" t="s">
        <v>358</v>
      </c>
      <c r="J11" s="18" t="s">
        <v>359</v>
      </c>
      <c r="K11" s="18" t="s">
        <v>360</v>
      </c>
    </row>
    <row r="12" spans="1:21" ht="30" x14ac:dyDescent="0.25">
      <c r="B12" s="1">
        <v>4</v>
      </c>
      <c r="C12" t="s">
        <v>335</v>
      </c>
      <c r="G12" s="17" t="s">
        <v>329</v>
      </c>
      <c r="H12" s="18" t="s">
        <v>361</v>
      </c>
      <c r="I12" s="18" t="s">
        <v>362</v>
      </c>
      <c r="J12" s="18" t="s">
        <v>363</v>
      </c>
      <c r="K12" s="18" t="s">
        <v>364</v>
      </c>
      <c r="M12" s="2" t="s">
        <v>396</v>
      </c>
    </row>
    <row r="13" spans="1:21" ht="30" x14ac:dyDescent="0.25">
      <c r="B13" s="1">
        <v>5</v>
      </c>
      <c r="C13" t="s">
        <v>336</v>
      </c>
      <c r="G13" s="17" t="s">
        <v>330</v>
      </c>
      <c r="H13" s="18" t="s">
        <v>365</v>
      </c>
      <c r="I13" s="18" t="s">
        <v>367</v>
      </c>
      <c r="J13" s="18" t="s">
        <v>369</v>
      </c>
      <c r="K13" s="18" t="s">
        <v>370</v>
      </c>
    </row>
    <row r="14" spans="1:21" ht="30" x14ac:dyDescent="0.25">
      <c r="B14" s="1">
        <v>6</v>
      </c>
      <c r="C14" t="s">
        <v>337</v>
      </c>
      <c r="G14" s="17" t="s">
        <v>235</v>
      </c>
      <c r="H14" s="18" t="s">
        <v>366</v>
      </c>
      <c r="I14" s="18" t="s">
        <v>368</v>
      </c>
      <c r="J14" s="18" t="s">
        <v>371</v>
      </c>
      <c r="K14" s="18" t="s">
        <v>372</v>
      </c>
      <c r="M14" s="23" t="s">
        <v>342</v>
      </c>
      <c r="N14" s="25" t="s">
        <v>378</v>
      </c>
      <c r="O14" s="23" t="s">
        <v>346</v>
      </c>
      <c r="P14" s="8"/>
      <c r="Q14" s="8"/>
      <c r="R14" s="8"/>
      <c r="S14" s="23" t="s">
        <v>344</v>
      </c>
      <c r="T14" s="24" t="s">
        <v>377</v>
      </c>
      <c r="U14" s="23" t="s">
        <v>340</v>
      </c>
    </row>
    <row r="15" spans="1:21" x14ac:dyDescent="0.25">
      <c r="B15" s="1">
        <v>7</v>
      </c>
      <c r="C15" t="s">
        <v>338</v>
      </c>
      <c r="M15" s="24" t="s">
        <v>379</v>
      </c>
      <c r="O15" s="24" t="s">
        <v>378</v>
      </c>
      <c r="P15" s="8"/>
      <c r="Q15" s="8"/>
      <c r="R15" s="8"/>
      <c r="S15" s="8"/>
      <c r="T15" s="8"/>
      <c r="U15" s="24" t="s">
        <v>379</v>
      </c>
    </row>
    <row r="16" spans="1:21" x14ac:dyDescent="0.25">
      <c r="B16" s="1">
        <v>8</v>
      </c>
      <c r="C16" t="s">
        <v>339</v>
      </c>
      <c r="O16" s="23" t="s">
        <v>334</v>
      </c>
      <c r="P16" s="25" t="s">
        <v>378</v>
      </c>
      <c r="Q16" s="23" t="s">
        <v>336</v>
      </c>
      <c r="R16" s="25" t="s">
        <v>378</v>
      </c>
      <c r="S16" s="23" t="s">
        <v>335</v>
      </c>
      <c r="T16" s="25" t="s">
        <v>378</v>
      </c>
      <c r="U16" s="23" t="s">
        <v>337</v>
      </c>
    </row>
    <row r="17" spans="2:9" x14ac:dyDescent="0.25">
      <c r="B17" s="1">
        <v>9</v>
      </c>
      <c r="C17" t="s">
        <v>340</v>
      </c>
      <c r="G17" s="2" t="s">
        <v>373</v>
      </c>
    </row>
    <row r="18" spans="2:9" x14ac:dyDescent="0.25">
      <c r="B18" s="1">
        <v>10</v>
      </c>
      <c r="C18" t="s">
        <v>341</v>
      </c>
    </row>
    <row r="19" spans="2:9" x14ac:dyDescent="0.25">
      <c r="B19" s="1">
        <v>11</v>
      </c>
      <c r="C19" t="s">
        <v>342</v>
      </c>
      <c r="G19" t="s">
        <v>374</v>
      </c>
      <c r="H19" t="s">
        <v>375</v>
      </c>
      <c r="I19" t="s">
        <v>376</v>
      </c>
    </row>
    <row r="20" spans="2:9" x14ac:dyDescent="0.25">
      <c r="B20" s="1">
        <v>12</v>
      </c>
      <c r="C20" t="s">
        <v>343</v>
      </c>
      <c r="G20" s="20" t="s">
        <v>377</v>
      </c>
      <c r="H20" s="20" t="s">
        <v>377</v>
      </c>
      <c r="I20" s="8" t="s">
        <v>328</v>
      </c>
    </row>
    <row r="21" spans="2:9" x14ac:dyDescent="0.25">
      <c r="B21" s="1">
        <v>13</v>
      </c>
      <c r="C21" t="s">
        <v>344</v>
      </c>
      <c r="G21" s="20" t="s">
        <v>377</v>
      </c>
      <c r="H21" s="20" t="s">
        <v>378</v>
      </c>
      <c r="I21" s="8" t="s">
        <v>329</v>
      </c>
    </row>
    <row r="22" spans="2:9" x14ac:dyDescent="0.25">
      <c r="B22" s="1">
        <v>14</v>
      </c>
      <c r="C22" t="s">
        <v>345</v>
      </c>
      <c r="G22" s="20" t="s">
        <v>377</v>
      </c>
      <c r="H22" s="20" t="s">
        <v>379</v>
      </c>
      <c r="I22" s="8" t="s">
        <v>330</v>
      </c>
    </row>
    <row r="23" spans="2:9" x14ac:dyDescent="0.25">
      <c r="B23" s="1">
        <v>15</v>
      </c>
      <c r="C23" t="s">
        <v>346</v>
      </c>
      <c r="G23" s="20" t="s">
        <v>377</v>
      </c>
      <c r="H23" s="21" t="s">
        <v>378</v>
      </c>
      <c r="I23" s="8" t="s">
        <v>235</v>
      </c>
    </row>
    <row r="24" spans="2:9" x14ac:dyDescent="0.25">
      <c r="B24" s="1"/>
    </row>
    <row r="25" spans="2:9" x14ac:dyDescent="0.25">
      <c r="C25" s="2" t="s">
        <v>30</v>
      </c>
      <c r="G25" s="22" t="s">
        <v>393</v>
      </c>
    </row>
    <row r="26" spans="2:9" x14ac:dyDescent="0.25">
      <c r="B26" s="1" t="s">
        <v>8</v>
      </c>
      <c r="C26" s="4" t="s">
        <v>80</v>
      </c>
    </row>
    <row r="27" spans="2:9" x14ac:dyDescent="0.25">
      <c r="B27" s="1"/>
    </row>
    <row r="28" spans="2:9" x14ac:dyDescent="0.25">
      <c r="B28" s="1"/>
      <c r="C28" s="2" t="s">
        <v>331</v>
      </c>
    </row>
    <row r="29" spans="2:9" x14ac:dyDescent="0.25">
      <c r="C29" t="s">
        <v>381</v>
      </c>
    </row>
    <row r="30" spans="2:9" x14ac:dyDescent="0.25">
      <c r="C30" t="s">
        <v>382</v>
      </c>
    </row>
    <row r="31" spans="2:9" x14ac:dyDescent="0.25">
      <c r="C31" t="s">
        <v>383</v>
      </c>
    </row>
    <row r="33" spans="2:7" x14ac:dyDescent="0.25">
      <c r="C33" t="s">
        <v>384</v>
      </c>
    </row>
    <row r="34" spans="2:7" x14ac:dyDescent="0.25">
      <c r="C34" s="2" t="s">
        <v>380</v>
      </c>
      <c r="G34" t="s">
        <v>392</v>
      </c>
    </row>
    <row r="35" spans="2:7" x14ac:dyDescent="0.25">
      <c r="C35" t="s">
        <v>385</v>
      </c>
    </row>
    <row r="36" spans="2:7" x14ac:dyDescent="0.25">
      <c r="C36" t="s">
        <v>386</v>
      </c>
    </row>
    <row r="38" spans="2:7" x14ac:dyDescent="0.25">
      <c r="C38" t="s">
        <v>397</v>
      </c>
    </row>
    <row r="40" spans="2:7" x14ac:dyDescent="0.25">
      <c r="C40" t="s">
        <v>387</v>
      </c>
      <c r="G40" t="s">
        <v>390</v>
      </c>
    </row>
    <row r="41" spans="2:7" x14ac:dyDescent="0.25">
      <c r="C41" t="s">
        <v>388</v>
      </c>
      <c r="G41" s="3" t="s">
        <v>391</v>
      </c>
    </row>
    <row r="42" spans="2:7" x14ac:dyDescent="0.25">
      <c r="C42" t="s">
        <v>389</v>
      </c>
    </row>
    <row r="44" spans="2:7" x14ac:dyDescent="0.25">
      <c r="B44" s="1" t="s">
        <v>22</v>
      </c>
      <c r="C44" s="4" t="s">
        <v>80</v>
      </c>
      <c r="G44" t="s">
        <v>394</v>
      </c>
    </row>
    <row r="45" spans="2:7" x14ac:dyDescent="0.25">
      <c r="B45" s="1"/>
    </row>
    <row r="47" spans="2:7" x14ac:dyDescent="0.25">
      <c r="C47" s="11" t="s">
        <v>354</v>
      </c>
    </row>
    <row r="48" spans="2:7" x14ac:dyDescent="0.25">
      <c r="C48" s="11" t="s">
        <v>352</v>
      </c>
    </row>
    <row r="49" spans="3:3" x14ac:dyDescent="0.25">
      <c r="C49" s="11" t="s">
        <v>353</v>
      </c>
    </row>
    <row r="51" spans="3:3" x14ac:dyDescent="0.25">
      <c r="C51" s="11" t="s">
        <v>355</v>
      </c>
    </row>
    <row r="52" spans="3:3" x14ac:dyDescent="0.25">
      <c r="C52" s="11" t="s">
        <v>356</v>
      </c>
    </row>
    <row r="54" spans="3:3" x14ac:dyDescent="0.25">
      <c r="C54" s="11" t="s">
        <v>357</v>
      </c>
    </row>
  </sheetData>
  <hyperlinks>
    <hyperlink ref="E2" r:id="rId1" xr:uid="{76FCC328-2959-4F97-97EC-0C237B822808}"/>
    <hyperlink ref="G2" r:id="rId2" xr:uid="{E96643B3-FE52-4B0E-AD7D-3ECEA85EE445}"/>
    <hyperlink ref="C3" r:id="rId3" xr:uid="{108CFCFA-2328-42BA-A65A-F273430FC9D7}"/>
    <hyperlink ref="C4" r:id="rId4" xr:uid="{DFCED84B-482F-494D-BDF8-92817DFED82C}"/>
    <hyperlink ref="C5" r:id="rId5" xr:uid="{00409112-6468-48E5-B5D0-30C923C995DB}"/>
    <hyperlink ref="C6" r:id="rId6" xr:uid="{69ABAC1C-B217-4663-B005-8012D7CF78FA}"/>
    <hyperlink ref="C8" r:id="rId7" xr:uid="{19F01208-D172-4BB6-891C-5A03686F3980}"/>
    <hyperlink ref="C48" r:id="rId8" xr:uid="{EF7114D9-B345-427D-95C2-1323CC021560}"/>
    <hyperlink ref="C49" r:id="rId9" xr:uid="{267794CF-8BC6-4C76-B933-03A8E6D5EDE3}"/>
    <hyperlink ref="C47" r:id="rId10" xr:uid="{45ECE389-208D-4FAB-98BA-9093E1103F4F}"/>
    <hyperlink ref="C51" r:id="rId11" xr:uid="{2940F1F7-2F41-471B-97A6-66210DC5A174}"/>
    <hyperlink ref="C52" r:id="rId12" xr:uid="{5BDB4FA8-B4EB-4243-BC42-E8C623BD9A7B}"/>
    <hyperlink ref="C54" r:id="rId13" xr:uid="{4D0C365E-8219-4D74-901E-EFA356FD6330}"/>
  </hyperlinks>
  <printOptions gridLines="1"/>
  <pageMargins left="0.70866141732283472" right="0.70866141732283472" top="0.74803149606299213" bottom="0.74803149606299213" header="0.31496062992125984" footer="0.31496062992125984"/>
  <pageSetup paperSize="9" scale="54" orientation="landscape" r:id="rId14"/>
  <headerFooter>
    <oddHeader>&amp;A</oddHeader>
    <oddFooter>&amp;F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E9551-0378-480F-A179-839D23A2AECD}">
  <sheetPr>
    <pageSetUpPr fitToPage="1"/>
  </sheetPr>
  <dimension ref="B2:B53"/>
  <sheetViews>
    <sheetView workbookViewId="0"/>
  </sheetViews>
  <sheetFormatPr defaultRowHeight="15" x14ac:dyDescent="0.25"/>
  <sheetData>
    <row r="2" spans="2:2" x14ac:dyDescent="0.25">
      <c r="B2" s="2" t="s">
        <v>422</v>
      </c>
    </row>
    <row r="3" spans="2:2" x14ac:dyDescent="0.25">
      <c r="B3" t="s">
        <v>409</v>
      </c>
    </row>
    <row r="4" spans="2:2" x14ac:dyDescent="0.25">
      <c r="B4" t="s">
        <v>410</v>
      </c>
    </row>
    <row r="6" spans="2:2" x14ac:dyDescent="0.25">
      <c r="B6" t="s">
        <v>411</v>
      </c>
    </row>
    <row r="7" spans="2:2" x14ac:dyDescent="0.25">
      <c r="B7" t="s">
        <v>412</v>
      </c>
    </row>
    <row r="8" spans="2:2" x14ac:dyDescent="0.25">
      <c r="B8" t="s">
        <v>413</v>
      </c>
    </row>
    <row r="9" spans="2:2" x14ac:dyDescent="0.25">
      <c r="B9" t="s">
        <v>414</v>
      </c>
    </row>
    <row r="10" spans="2:2" x14ac:dyDescent="0.25">
      <c r="B10" t="s">
        <v>415</v>
      </c>
    </row>
    <row r="28" spans="2:2" x14ac:dyDescent="0.25">
      <c r="B28" t="s">
        <v>416</v>
      </c>
    </row>
    <row r="29" spans="2:2" x14ac:dyDescent="0.25">
      <c r="B29" t="s">
        <v>417</v>
      </c>
    </row>
    <row r="30" spans="2:2" x14ac:dyDescent="0.25">
      <c r="B30" t="s">
        <v>418</v>
      </c>
    </row>
    <row r="31" spans="2:2" x14ac:dyDescent="0.25">
      <c r="B31" t="s">
        <v>419</v>
      </c>
    </row>
    <row r="32" spans="2:2" x14ac:dyDescent="0.25">
      <c r="B32" t="s">
        <v>420</v>
      </c>
    </row>
    <row r="33" spans="2:2" x14ac:dyDescent="0.25">
      <c r="B33" t="s">
        <v>421</v>
      </c>
    </row>
    <row r="36" spans="2:2" x14ac:dyDescent="0.25">
      <c r="B36" t="s">
        <v>423</v>
      </c>
    </row>
    <row r="38" spans="2:2" x14ac:dyDescent="0.25">
      <c r="B38" t="s">
        <v>424</v>
      </c>
    </row>
    <row r="39" spans="2:2" x14ac:dyDescent="0.25">
      <c r="B39" t="s">
        <v>430</v>
      </c>
    </row>
    <row r="41" spans="2:2" x14ac:dyDescent="0.25">
      <c r="B41" t="s">
        <v>431</v>
      </c>
    </row>
    <row r="42" spans="2:2" x14ac:dyDescent="0.25">
      <c r="B42" s="26" t="s">
        <v>425</v>
      </c>
    </row>
    <row r="43" spans="2:2" x14ac:dyDescent="0.25">
      <c r="B43" s="26" t="s">
        <v>426</v>
      </c>
    </row>
    <row r="45" spans="2:2" x14ac:dyDescent="0.25">
      <c r="B45" t="s">
        <v>427</v>
      </c>
    </row>
    <row r="46" spans="2:2" x14ac:dyDescent="0.25">
      <c r="B46" t="s">
        <v>432</v>
      </c>
    </row>
    <row r="48" spans="2:2" x14ac:dyDescent="0.25">
      <c r="B48" t="s">
        <v>433</v>
      </c>
    </row>
    <row r="49" spans="2:2" x14ac:dyDescent="0.25">
      <c r="B49" s="26" t="s">
        <v>428</v>
      </c>
    </row>
    <row r="50" spans="2:2" x14ac:dyDescent="0.25">
      <c r="B50" s="26" t="s">
        <v>429</v>
      </c>
    </row>
    <row r="52" spans="2:2" x14ac:dyDescent="0.25">
      <c r="B52" t="s">
        <v>434</v>
      </c>
    </row>
    <row r="53" spans="2:2" x14ac:dyDescent="0.25">
      <c r="B53" t="s">
        <v>435</v>
      </c>
    </row>
  </sheetData>
  <printOptions gridLines="1"/>
  <pageMargins left="0.70866141732283472" right="0.70866141732283472" top="0.74803149606299213" bottom="0.74803149606299213" header="0.31496062992125984" footer="0.31496062992125984"/>
  <pageSetup paperSize="9" scale="51" orientation="landscape" r:id="rId1"/>
  <headerFooter>
    <oddHeader>&amp;A</oddHeader>
    <oddFooter>&amp;F</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475EF-134B-48DF-9395-3D48965181A7}">
  <sheetPr>
    <pageSetUpPr fitToPage="1"/>
  </sheetPr>
  <dimension ref="B2:L43"/>
  <sheetViews>
    <sheetView workbookViewId="0"/>
  </sheetViews>
  <sheetFormatPr defaultRowHeight="15" x14ac:dyDescent="0.25"/>
  <sheetData>
    <row r="2" spans="2:11" x14ac:dyDescent="0.25">
      <c r="B2" s="2" t="s">
        <v>408</v>
      </c>
    </row>
    <row r="3" spans="2:11" x14ac:dyDescent="0.25">
      <c r="B3" s="11" t="s">
        <v>288</v>
      </c>
    </row>
    <row r="5" spans="2:11" x14ac:dyDescent="0.25">
      <c r="B5" s="11" t="s">
        <v>279</v>
      </c>
    </row>
    <row r="7" spans="2:11" x14ac:dyDescent="0.25">
      <c r="B7" s="2" t="s">
        <v>404</v>
      </c>
      <c r="K7" t="s">
        <v>445</v>
      </c>
    </row>
    <row r="8" spans="2:11" x14ac:dyDescent="0.25">
      <c r="B8" s="11" t="s">
        <v>399</v>
      </c>
    </row>
    <row r="10" spans="2:11" x14ac:dyDescent="0.25">
      <c r="B10" s="11" t="s">
        <v>401</v>
      </c>
    </row>
    <row r="12" spans="2:11" x14ac:dyDescent="0.25">
      <c r="B12" s="11" t="s">
        <v>398</v>
      </c>
    </row>
    <row r="14" spans="2:11" x14ac:dyDescent="0.25">
      <c r="B14" s="11" t="s">
        <v>400</v>
      </c>
    </row>
    <row r="16" spans="2:11" x14ac:dyDescent="0.25">
      <c r="B16" s="11" t="s">
        <v>402</v>
      </c>
    </row>
    <row r="18" spans="2:2" x14ac:dyDescent="0.25">
      <c r="B18" s="11" t="s">
        <v>403</v>
      </c>
    </row>
    <row r="20" spans="2:2" x14ac:dyDescent="0.25">
      <c r="B20" s="2" t="s">
        <v>406</v>
      </c>
    </row>
    <row r="21" spans="2:2" x14ac:dyDescent="0.25">
      <c r="B21" s="11" t="s">
        <v>405</v>
      </c>
    </row>
    <row r="23" spans="2:2" x14ac:dyDescent="0.25">
      <c r="B23" s="11" t="s">
        <v>407</v>
      </c>
    </row>
    <row r="25" spans="2:2" x14ac:dyDescent="0.25">
      <c r="B25" s="2" t="s">
        <v>437</v>
      </c>
    </row>
    <row r="26" spans="2:2" x14ac:dyDescent="0.25">
      <c r="B26" t="s">
        <v>438</v>
      </c>
    </row>
    <row r="27" spans="2:2" x14ac:dyDescent="0.25">
      <c r="B27" s="11" t="s">
        <v>440</v>
      </c>
    </row>
    <row r="28" spans="2:2" x14ac:dyDescent="0.25">
      <c r="B28" s="11" t="s">
        <v>436</v>
      </c>
    </row>
    <row r="29" spans="2:2" x14ac:dyDescent="0.25">
      <c r="B29" s="11" t="s">
        <v>439</v>
      </c>
    </row>
    <row r="31" spans="2:2" x14ac:dyDescent="0.25">
      <c r="B31" t="s">
        <v>447</v>
      </c>
    </row>
    <row r="32" spans="2:2" x14ac:dyDescent="0.25">
      <c r="B32" s="11" t="s">
        <v>442</v>
      </c>
    </row>
    <row r="33" spans="2:12" x14ac:dyDescent="0.25">
      <c r="B33" s="11" t="s">
        <v>443</v>
      </c>
    </row>
    <row r="34" spans="2:12" x14ac:dyDescent="0.25">
      <c r="B34" s="11" t="s">
        <v>444</v>
      </c>
    </row>
    <row r="35" spans="2:12" x14ac:dyDescent="0.25">
      <c r="B35" s="11" t="s">
        <v>446</v>
      </c>
    </row>
    <row r="43" spans="2:12" x14ac:dyDescent="0.25">
      <c r="L43" s="11" t="s">
        <v>441</v>
      </c>
    </row>
  </sheetData>
  <hyperlinks>
    <hyperlink ref="B3" r:id="rId1" xr:uid="{3331D834-9E4B-4B4E-AA47-13D7D5F296C0}"/>
    <hyperlink ref="B5" r:id="rId2" xr:uid="{8EBA2DFD-D383-4C2A-882F-0B114DEF0177}"/>
    <hyperlink ref="B12" r:id="rId3" xr:uid="{44CE6F4A-3D67-485A-96FA-FAD58D9C8F7C}"/>
    <hyperlink ref="B8" r:id="rId4" xr:uid="{F1EEE0AC-0CD7-4984-B42C-961749F518EE}"/>
    <hyperlink ref="B14" r:id="rId5" xr:uid="{E5627359-4CE6-4588-AA12-DD217B80C3F4}"/>
    <hyperlink ref="B10" r:id="rId6" xr:uid="{F801ACAC-ED3A-46BA-8223-3BEB90D1E056}"/>
    <hyperlink ref="B16" r:id="rId7" xr:uid="{B7099D7C-7578-44C3-87BC-A4D2E217F2CE}"/>
    <hyperlink ref="B18" r:id="rId8" xr:uid="{8795F88C-6234-4941-B308-0BA657CCFC26}"/>
    <hyperlink ref="B21" r:id="rId9" xr:uid="{67407C1D-8C71-4480-B68E-58B4746695A9}"/>
    <hyperlink ref="B23" r:id="rId10" xr:uid="{A76E6666-9801-4E97-8CF9-98FEFF7CFC6B}"/>
    <hyperlink ref="B28" r:id="rId11" xr:uid="{211EEADF-2E6C-4EDB-977A-14975115A3D4}"/>
    <hyperlink ref="B29" r:id="rId12" xr:uid="{28FACFD8-2539-4C86-A485-9F6F68F8EA13}"/>
    <hyperlink ref="B27" r:id="rId13" xr:uid="{7C86F74B-1B30-4450-84D8-A8CD1F30B28E}"/>
    <hyperlink ref="L43" r:id="rId14" xr:uid="{2BD9530D-F99D-45FB-BA54-393C710A70DA}"/>
    <hyperlink ref="B32" r:id="rId15" xr:uid="{FCF616C0-BB15-4A55-8F04-7091A08C69CC}"/>
    <hyperlink ref="B33" r:id="rId16" xr:uid="{5EFB06A9-4E09-4632-AB8F-69A24270DC87}"/>
    <hyperlink ref="B34" r:id="rId17" xr:uid="{4603B20C-4576-4327-BA3A-7C14F619B0BA}"/>
    <hyperlink ref="B35" r:id="rId18" xr:uid="{75BC1BC6-60DC-4FE6-AE2E-2AC980EB203B}"/>
  </hyperlinks>
  <printOptions gridLines="1"/>
  <pageMargins left="0.70866141732283472" right="0.70866141732283472" top="0.74803149606299213" bottom="0.74803149606299213" header="0.31496062992125984" footer="0.31496062992125984"/>
  <pageSetup paperSize="9" orientation="landscape" r:id="rId19"/>
  <headerFooter>
    <oddHeader>&amp;A</oddHeader>
    <oddFooter>&amp;F</oddFooter>
  </headerFooter>
  <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MU-puzzle</vt:lpstr>
      <vt:lpstr>pq-System</vt:lpstr>
      <vt:lpstr>tq-System</vt:lpstr>
      <vt:lpstr>priemgetallen</vt:lpstr>
      <vt:lpstr>recursie</vt:lpstr>
      <vt:lpstr>propositielogica</vt:lpstr>
      <vt:lpstr>TNT</vt:lpstr>
      <vt:lpstr>MU-puzzle (2)</vt:lpstr>
      <vt:lpstr>TNT (2)</vt:lpstr>
      <vt:lpstr>Jabberwocky</vt:lpstr>
      <vt:lpstr>Pie</vt:lpstr>
      <vt:lpstr>BlooP</vt:lpstr>
      <vt:lpstr>Typogenetics</vt:lpstr>
      <vt:lpstr>Story in Arabic</vt:lpstr>
      <vt:lpstr>GEB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 Zwaal</dc:creator>
  <cp:lastModifiedBy>Raymond Zwaal</cp:lastModifiedBy>
  <cp:lastPrinted>2026-10-19T17:39:59Z</cp:lastPrinted>
  <dcterms:created xsi:type="dcterms:W3CDTF">2026-09-27T13:54:59Z</dcterms:created>
  <dcterms:modified xsi:type="dcterms:W3CDTF">2026-10-20T14:35:05Z</dcterms:modified>
</cp:coreProperties>
</file>